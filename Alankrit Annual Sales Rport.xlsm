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hidePivotFieldList="1"/>
  <mc:AlternateContent xmlns:mc="http://schemas.openxmlformats.org/markup-compatibility/2006">
    <mc:Choice Requires="x15">
      <x15ac:absPath xmlns:x15ac="http://schemas.microsoft.com/office/spreadsheetml/2010/11/ac" url="https://d.docs.live.net/15b073de42fd8ee1/Documents/"/>
    </mc:Choice>
  </mc:AlternateContent>
  <xr:revisionPtr revIDLastSave="782" documentId="8_{EDDD45AB-ED28-4071-81A9-E5F1AC17E562}" xr6:coauthVersionLast="47" xr6:coauthVersionMax="47" xr10:uidLastSave="{6B974E81-3F79-4FC4-8618-2037238787B8}"/>
  <bookViews>
    <workbookView xWindow="-108" yWindow="-108" windowWidth="23256" windowHeight="12456" activeTab="2" xr2:uid="{157946D1-900F-466F-8F97-76C286472D6D}"/>
  </bookViews>
  <sheets>
    <sheet name="Alankrit Sales Data" sheetId="2" r:id="rId1"/>
    <sheet name="Analysis" sheetId="1" r:id="rId2"/>
    <sheet name="Dashboard" sheetId="4" r:id="rId3"/>
  </sheets>
  <definedNames>
    <definedName name="_xlchart.v1.0" hidden="1">Analysis!$S$10:$S$14</definedName>
    <definedName name="_xlchart.v1.1" hidden="1">Analysis!$T$10:$T$14</definedName>
    <definedName name="ExternalData_1" localSheetId="0" hidden="1">'Alankrit Sales Data'!$A$2:$U$1000</definedName>
    <definedName name="Slicer_Customer_Location1">#N/A</definedName>
    <definedName name="Slicer_Sales_Channel1">#N/A</definedName>
  </definedNames>
  <calcPr calcId="191029"/>
  <pivotCaches>
    <pivotCache cacheId="33"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1" l="1"/>
  <c r="C7" i="1"/>
  <c r="C9" i="1" s="1"/>
  <c r="W3" i="2" a="1"/>
  <c r="W3"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F0AFAF-F54F-46BD-B05E-D9FD0E80ECBC}" keepAlive="1" name="Query - Alankrit Sales Data" description="Connection to the 'Alankrit Sales Data' query in the workbook." type="5" refreshedVersion="8" background="1" saveData="1">
    <dbPr connection="Provider=Microsoft.Mashup.OleDb.1;Data Source=$Workbook$;Location=&quot;Alankrit Sales Data&quot;;Extended Properties=&quot;&quot;" command="SELECT * FROM [Alankrit Sales Data]"/>
  </connection>
  <connection id="2" xr16:uid="{F6D3F76C-B4D0-4278-93DE-3B616B47B2AB}"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33C8A21D-5116-49D9-BF7F-F96A3D735D68}"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7AEC9FDB-127F-456C-9F14-9C5DF06C10F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BA98A6D6-2CB6-4ACC-BD64-88FBC799FBCD}"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<sst xmlns="http://schemas.openxmlformats.org/spreadsheetml/2006/main" count="9073" uniqueCount="1128">
  <si>
    <t>Order ID</t>
  </si>
  <si>
    <t>Product Name</t>
  </si>
  <si>
    <t>Category</t>
  </si>
  <si>
    <t>Artisan ID</t>
  </si>
  <si>
    <t>Sales Date</t>
  </si>
  <si>
    <t>Sales Channel</t>
  </si>
  <si>
    <t>Customer Location</t>
  </si>
  <si>
    <t>Units Sold</t>
  </si>
  <si>
    <t>Unit Price</t>
  </si>
  <si>
    <t>Total Revenue</t>
  </si>
  <si>
    <t>Material Cost</t>
  </si>
  <si>
    <t>Artisan Payment</t>
  </si>
  <si>
    <t>Profit</t>
  </si>
  <si>
    <t>Stock Remaining</t>
  </si>
  <si>
    <t>Customer Feedback</t>
  </si>
  <si>
    <t>Day Name</t>
  </si>
  <si>
    <t>Start of Week</t>
  </si>
  <si>
    <t>Start of Quarter</t>
  </si>
  <si>
    <t>Month Name</t>
  </si>
  <si>
    <t>Start of Month</t>
  </si>
  <si>
    <t>Year</t>
  </si>
  <si>
    <t>ORD001</t>
  </si>
  <si>
    <t>Block Print Bedsheet</t>
  </si>
  <si>
    <t>Home Décor</t>
  </si>
  <si>
    <t>ART036</t>
  </si>
  <si>
    <t>Exhibition</t>
  </si>
  <si>
    <t>London</t>
  </si>
  <si>
    <t>2 - Below Average</t>
  </si>
  <si>
    <t>Sunday</t>
  </si>
  <si>
    <t>July</t>
  </si>
  <si>
    <t>ORD002</t>
  </si>
  <si>
    <t>Silk Cushion Covers</t>
  </si>
  <si>
    <t>ART033</t>
  </si>
  <si>
    <t>New York</t>
  </si>
  <si>
    <t>3 - Average</t>
  </si>
  <si>
    <t>June</t>
  </si>
  <si>
    <t>ORD003</t>
  </si>
  <si>
    <t>Embroidered Lehenga</t>
  </si>
  <si>
    <t>Bridal Wear</t>
  </si>
  <si>
    <t>ART044</t>
  </si>
  <si>
    <t>Custom Order</t>
  </si>
  <si>
    <t>Tokyo</t>
  </si>
  <si>
    <t>1 - Poor</t>
  </si>
  <si>
    <t>Wednesday</t>
  </si>
  <si>
    <t>March</t>
  </si>
  <si>
    <t>ORD004</t>
  </si>
  <si>
    <t>Handwoven Saree</t>
  </si>
  <si>
    <t>Apparel</t>
  </si>
  <si>
    <t>ART039</t>
  </si>
  <si>
    <t>In-Store</t>
  </si>
  <si>
    <t>4 - Good</t>
  </si>
  <si>
    <t>Monday</t>
  </si>
  <si>
    <t>October</t>
  </si>
  <si>
    <t>ORD005</t>
  </si>
  <si>
    <t>ART019</t>
  </si>
  <si>
    <t>ORD006</t>
  </si>
  <si>
    <t>ART050</t>
  </si>
  <si>
    <t>Online</t>
  </si>
  <si>
    <t>Sydney</t>
  </si>
  <si>
    <t>ORD007</t>
  </si>
  <si>
    <t>ART032</t>
  </si>
  <si>
    <t>5 - Excellent</t>
  </si>
  <si>
    <t>Tuesday</t>
  </si>
  <si>
    <t>ORD008</t>
  </si>
  <si>
    <t>Mumbai</t>
  </si>
  <si>
    <t>ORD009</t>
  </si>
  <si>
    <t>ART017</t>
  </si>
  <si>
    <t>Saturday</t>
  </si>
  <si>
    <t>May</t>
  </si>
  <si>
    <t>ORD010</t>
  </si>
  <si>
    <t>ART038</t>
  </si>
  <si>
    <t>ORD011</t>
  </si>
  <si>
    <t>Hand-Embroidered Dupatta</t>
  </si>
  <si>
    <t>ART009</t>
  </si>
  <si>
    <t>April</t>
  </si>
  <si>
    <t>ORD012</t>
  </si>
  <si>
    <t>ART034</t>
  </si>
  <si>
    <t>ORD013</t>
  </si>
  <si>
    <t>ART001</t>
  </si>
  <si>
    <t>ORD014</t>
  </si>
  <si>
    <t>ART045</t>
  </si>
  <si>
    <t>Delhi</t>
  </si>
  <si>
    <t>ORD015</t>
  </si>
  <si>
    <t>ART023</t>
  </si>
  <si>
    <t>Thursday</t>
  </si>
  <si>
    <t>February</t>
  </si>
  <si>
    <t>ORD016</t>
  </si>
  <si>
    <t>ART030</t>
  </si>
  <si>
    <t>ORD017</t>
  </si>
  <si>
    <t>ART015</t>
  </si>
  <si>
    <t>ORD018</t>
  </si>
  <si>
    <t>ART006</t>
  </si>
  <si>
    <t>August</t>
  </si>
  <si>
    <t>ORD019</t>
  </si>
  <si>
    <t>ORD020</t>
  </si>
  <si>
    <t>January</t>
  </si>
  <si>
    <t>ORD021</t>
  </si>
  <si>
    <t>ART016</t>
  </si>
  <si>
    <t>Bengaluru</t>
  </si>
  <si>
    <t>Friday</t>
  </si>
  <si>
    <t>ORD022</t>
  </si>
  <si>
    <t>ART022</t>
  </si>
  <si>
    <t>ORD023</t>
  </si>
  <si>
    <t>ORD024</t>
  </si>
  <si>
    <t>September</t>
  </si>
  <si>
    <t>ORD025</t>
  </si>
  <si>
    <t>ART018</t>
  </si>
  <si>
    <t>ORD026</t>
  </si>
  <si>
    <t>ART024</t>
  </si>
  <si>
    <t>ORD027</t>
  </si>
  <si>
    <t>ORD028</t>
  </si>
  <si>
    <t>ART043</t>
  </si>
  <si>
    <t>ORD029</t>
  </si>
  <si>
    <t>ORD030</t>
  </si>
  <si>
    <t>ART014</t>
  </si>
  <si>
    <t>ORD031</t>
  </si>
  <si>
    <t>ORD032</t>
  </si>
  <si>
    <t>ART025</t>
  </si>
  <si>
    <t>ORD033</t>
  </si>
  <si>
    <t>ART021</t>
  </si>
  <si>
    <t>ORD034</t>
  </si>
  <si>
    <t>ART040</t>
  </si>
  <si>
    <t>ORD035</t>
  </si>
  <si>
    <t>ART004</t>
  </si>
  <si>
    <t>ORD036</t>
  </si>
  <si>
    <t>ART007</t>
  </si>
  <si>
    <t>ORD037</t>
  </si>
  <si>
    <t>ORD038</t>
  </si>
  <si>
    <t>ART048</t>
  </si>
  <si>
    <t>ORD039</t>
  </si>
  <si>
    <t>ORD040</t>
  </si>
  <si>
    <t>ORD041</t>
  </si>
  <si>
    <t>ORD042</t>
  </si>
  <si>
    <t>ART003</t>
  </si>
  <si>
    <t>ORD043</t>
  </si>
  <si>
    <t>ART037</t>
  </si>
  <si>
    <t>ORD044</t>
  </si>
  <si>
    <t>ART028</t>
  </si>
  <si>
    <t>November</t>
  </si>
  <si>
    <t>ORD045</t>
  </si>
  <si>
    <t>ORD046</t>
  </si>
  <si>
    <t>ORD047</t>
  </si>
  <si>
    <t>ART041</t>
  </si>
  <si>
    <t>ORD048</t>
  </si>
  <si>
    <t>ORD049</t>
  </si>
  <si>
    <t>ART013</t>
  </si>
  <si>
    <t>ORD050</t>
  </si>
  <si>
    <t>ORD051</t>
  </si>
  <si>
    <t>ART005</t>
  </si>
  <si>
    <t>ORD052</t>
  </si>
  <si>
    <t>ORD053</t>
  </si>
  <si>
    <t>ORD054</t>
  </si>
  <si>
    <t>ART047</t>
  </si>
  <si>
    <t>ORD055</t>
  </si>
  <si>
    <t>ART002</t>
  </si>
  <si>
    <t>ORD056</t>
  </si>
  <si>
    <t>ORD057</t>
  </si>
  <si>
    <t>ORD058</t>
  </si>
  <si>
    <t>ORD059</t>
  </si>
  <si>
    <t>ORD060</t>
  </si>
  <si>
    <t>ORD061</t>
  </si>
  <si>
    <t>ORD062</t>
  </si>
  <si>
    <t>ORD063</t>
  </si>
  <si>
    <t>ART049</t>
  </si>
  <si>
    <t>ORD064</t>
  </si>
  <si>
    <t>ORD065</t>
  </si>
  <si>
    <t>ORD066</t>
  </si>
  <si>
    <t>ORD067</t>
  </si>
  <si>
    <t>ART011</t>
  </si>
  <si>
    <t>ORD068</t>
  </si>
  <si>
    <t>ORD069</t>
  </si>
  <si>
    <t>ORD070</t>
  </si>
  <si>
    <t>ORD071</t>
  </si>
  <si>
    <t>ORD072</t>
  </si>
  <si>
    <t>ART020</t>
  </si>
  <si>
    <t>ORD073</t>
  </si>
  <si>
    <t>ART046</t>
  </si>
  <si>
    <t>ORD074</t>
  </si>
  <si>
    <t>ORD075</t>
  </si>
  <si>
    <t>ORD076</t>
  </si>
  <si>
    <t>ORD077</t>
  </si>
  <si>
    <t>ORD078</t>
  </si>
  <si>
    <t>ORD079</t>
  </si>
  <si>
    <t>ORD080</t>
  </si>
  <si>
    <t>ORD081</t>
  </si>
  <si>
    <t>ORD082</t>
  </si>
  <si>
    <t>ORD083</t>
  </si>
  <si>
    <t>ORD084</t>
  </si>
  <si>
    <t>ART035</t>
  </si>
  <si>
    <t>ORD085</t>
  </si>
  <si>
    <t>ART026</t>
  </si>
  <si>
    <t>ORD086</t>
  </si>
  <si>
    <t>ORD087</t>
  </si>
  <si>
    <t>ORD088</t>
  </si>
  <si>
    <t>ORD089</t>
  </si>
  <si>
    <t>ORD090</t>
  </si>
  <si>
    <t>ART029</t>
  </si>
  <si>
    <t>ORD091</t>
  </si>
  <si>
    <t>ORD092</t>
  </si>
  <si>
    <t>ORD093</t>
  </si>
  <si>
    <t>ORD094</t>
  </si>
  <si>
    <t>ORD095</t>
  </si>
  <si>
    <t>ORD096</t>
  </si>
  <si>
    <t>ORD097</t>
  </si>
  <si>
    <t>ORD098</t>
  </si>
  <si>
    <t>ART031</t>
  </si>
  <si>
    <t>ORD099</t>
  </si>
  <si>
    <t>ORD100</t>
  </si>
  <si>
    <t>ORD101</t>
  </si>
  <si>
    <t>ART027</t>
  </si>
  <si>
    <t>ORD102</t>
  </si>
  <si>
    <t>ORD103</t>
  </si>
  <si>
    <t>ORD104</t>
  </si>
  <si>
    <t>ORD105</t>
  </si>
  <si>
    <t>ORD106</t>
  </si>
  <si>
    <t>ORD107</t>
  </si>
  <si>
    <t>ORD108</t>
  </si>
  <si>
    <t>ORD109</t>
  </si>
  <si>
    <t>ORD110</t>
  </si>
  <si>
    <t>ART042</t>
  </si>
  <si>
    <t>ORD111</t>
  </si>
  <si>
    <t>ART012</t>
  </si>
  <si>
    <t>ORD112</t>
  </si>
  <si>
    <t>ORD113</t>
  </si>
  <si>
    <t>ORD114</t>
  </si>
  <si>
    <t>ORD115</t>
  </si>
  <si>
    <t>ORD116</t>
  </si>
  <si>
    <t>ORD117</t>
  </si>
  <si>
    <t>ORD118</t>
  </si>
  <si>
    <t>ORD119</t>
  </si>
  <si>
    <t>ORD120</t>
  </si>
  <si>
    <t>ORD121</t>
  </si>
  <si>
    <t>ORD122</t>
  </si>
  <si>
    <t>ORD123</t>
  </si>
  <si>
    <t>ORD124</t>
  </si>
  <si>
    <t>ORD125</t>
  </si>
  <si>
    <t>ORD126</t>
  </si>
  <si>
    <t>ORD127</t>
  </si>
  <si>
    <t>ORD128</t>
  </si>
  <si>
    <t>ORD129</t>
  </si>
  <si>
    <t>ORD130</t>
  </si>
  <si>
    <t>ORD131</t>
  </si>
  <si>
    <t>ORD132</t>
  </si>
  <si>
    <t>ORD133</t>
  </si>
  <si>
    <t>ORD134</t>
  </si>
  <si>
    <t>ORD135</t>
  </si>
  <si>
    <t>ORD136</t>
  </si>
  <si>
    <t>ORD137</t>
  </si>
  <si>
    <t>ORD138</t>
  </si>
  <si>
    <t>ORD139</t>
  </si>
  <si>
    <t>ORD140</t>
  </si>
  <si>
    <t>ORD141</t>
  </si>
  <si>
    <t>ORD143</t>
  </si>
  <si>
    <t>ORD144</t>
  </si>
  <si>
    <t>ORD145</t>
  </si>
  <si>
    <t>ORD146</t>
  </si>
  <si>
    <t>ART008</t>
  </si>
  <si>
    <t>ORD147</t>
  </si>
  <si>
    <t>ORD148</t>
  </si>
  <si>
    <t>ORD149</t>
  </si>
  <si>
    <t>ORD150</t>
  </si>
  <si>
    <t>ORD151</t>
  </si>
  <si>
    <t>ORD152</t>
  </si>
  <si>
    <t>ORD153</t>
  </si>
  <si>
    <t>ORD154</t>
  </si>
  <si>
    <t>ORD155</t>
  </si>
  <si>
    <t>ORD156</t>
  </si>
  <si>
    <t>ORD157</t>
  </si>
  <si>
    <t>ORD158</t>
  </si>
  <si>
    <t>ORD159</t>
  </si>
  <si>
    <t>ORD160</t>
  </si>
  <si>
    <t>ORD161</t>
  </si>
  <si>
    <t>ORD162</t>
  </si>
  <si>
    <t>ORD163</t>
  </si>
  <si>
    <t>ORD164</t>
  </si>
  <si>
    <t>ORD165</t>
  </si>
  <si>
    <t>ORD166</t>
  </si>
  <si>
    <t>ORD167</t>
  </si>
  <si>
    <t>ORD168</t>
  </si>
  <si>
    <t>ORD169</t>
  </si>
  <si>
    <t>ORD170</t>
  </si>
  <si>
    <t>ORD171</t>
  </si>
  <si>
    <t>ORD172</t>
  </si>
  <si>
    <t>ORD173</t>
  </si>
  <si>
    <t>ORD174</t>
  </si>
  <si>
    <t>ORD175</t>
  </si>
  <si>
    <t>ORD176</t>
  </si>
  <si>
    <t>ORD177</t>
  </si>
  <si>
    <t>ORD178</t>
  </si>
  <si>
    <t>ORD179</t>
  </si>
  <si>
    <t>ORD180</t>
  </si>
  <si>
    <t>ORD181</t>
  </si>
  <si>
    <t>ORD182</t>
  </si>
  <si>
    <t>ORD183</t>
  </si>
  <si>
    <t>ORD184</t>
  </si>
  <si>
    <t>ORD185</t>
  </si>
  <si>
    <t>ORD186</t>
  </si>
  <si>
    <t>ORD187</t>
  </si>
  <si>
    <t>ORD188</t>
  </si>
  <si>
    <t>ORD189</t>
  </si>
  <si>
    <t>ORD190</t>
  </si>
  <si>
    <t>ART010</t>
  </si>
  <si>
    <t>ORD191</t>
  </si>
  <si>
    <t>ORD192</t>
  </si>
  <si>
    <t>ORD193</t>
  </si>
  <si>
    <t>ORD194</t>
  </si>
  <si>
    <t>ORD195</t>
  </si>
  <si>
    <t>ORD196</t>
  </si>
  <si>
    <t>ORD197</t>
  </si>
  <si>
    <t>ORD198</t>
  </si>
  <si>
    <t>ORD199</t>
  </si>
  <si>
    <t>ORD200</t>
  </si>
  <si>
    <t>ORD201</t>
  </si>
  <si>
    <t>ORD202</t>
  </si>
  <si>
    <t>ORD203</t>
  </si>
  <si>
    <t>ORD204</t>
  </si>
  <si>
    <t>ORD205</t>
  </si>
  <si>
    <t>ORD206</t>
  </si>
  <si>
    <t>ORD207</t>
  </si>
  <si>
    <t>ORD208</t>
  </si>
  <si>
    <t>ORD209</t>
  </si>
  <si>
    <t>ORD210</t>
  </si>
  <si>
    <t>ORD211</t>
  </si>
  <si>
    <t>ORD212</t>
  </si>
  <si>
    <t>ORD213</t>
  </si>
  <si>
    <t>ORD214</t>
  </si>
  <si>
    <t>ORD215</t>
  </si>
  <si>
    <t>ORD216</t>
  </si>
  <si>
    <t>ORD217</t>
  </si>
  <si>
    <t>ORD218</t>
  </si>
  <si>
    <t>ORD219</t>
  </si>
  <si>
    <t>ORD220</t>
  </si>
  <si>
    <t>ORD221</t>
  </si>
  <si>
    <t>ORD222</t>
  </si>
  <si>
    <t>ORD223</t>
  </si>
  <si>
    <t>ORD224</t>
  </si>
  <si>
    <t>ORD225</t>
  </si>
  <si>
    <t>ORD226</t>
  </si>
  <si>
    <t>ORD227</t>
  </si>
  <si>
    <t>ORD228</t>
  </si>
  <si>
    <t>ORD229</t>
  </si>
  <si>
    <t>ORD230</t>
  </si>
  <si>
    <t>ORD231</t>
  </si>
  <si>
    <t>ORD232</t>
  </si>
  <si>
    <t>ORD233</t>
  </si>
  <si>
    <t>ORD234</t>
  </si>
  <si>
    <t>ORD235</t>
  </si>
  <si>
    <t>ORD236</t>
  </si>
  <si>
    <t>ORD237</t>
  </si>
  <si>
    <t>ORD238</t>
  </si>
  <si>
    <t>ORD239</t>
  </si>
  <si>
    <t>ORD240</t>
  </si>
  <si>
    <t>ORD241</t>
  </si>
  <si>
    <t>ORD242</t>
  </si>
  <si>
    <t>ORD243</t>
  </si>
  <si>
    <t>ORD244</t>
  </si>
  <si>
    <t>ORD245</t>
  </si>
  <si>
    <t>ORD246</t>
  </si>
  <si>
    <t>ORD247</t>
  </si>
  <si>
    <t>ORD248</t>
  </si>
  <si>
    <t>ORD249</t>
  </si>
  <si>
    <t>ORD250</t>
  </si>
  <si>
    <t>ORD251</t>
  </si>
  <si>
    <t>ORD252</t>
  </si>
  <si>
    <t>ORD253</t>
  </si>
  <si>
    <t>ORD254</t>
  </si>
  <si>
    <t>ORD255</t>
  </si>
  <si>
    <t>ORD256</t>
  </si>
  <si>
    <t>ORD257</t>
  </si>
  <si>
    <t>ORD258</t>
  </si>
  <si>
    <t>ORD259</t>
  </si>
  <si>
    <t>ORD260</t>
  </si>
  <si>
    <t>ORD261</t>
  </si>
  <si>
    <t>ORD262</t>
  </si>
  <si>
    <t>ORD263</t>
  </si>
  <si>
    <t>ORD264</t>
  </si>
  <si>
    <t>ORD265</t>
  </si>
  <si>
    <t>ORD266</t>
  </si>
  <si>
    <t>ORD267</t>
  </si>
  <si>
    <t>ORD268</t>
  </si>
  <si>
    <t>ORD269</t>
  </si>
  <si>
    <t>ORD270</t>
  </si>
  <si>
    <t>ORD271</t>
  </si>
  <si>
    <t>ORD272</t>
  </si>
  <si>
    <t>ORD273</t>
  </si>
  <si>
    <t>ORD274</t>
  </si>
  <si>
    <t>ORD275</t>
  </si>
  <si>
    <t>ORD276</t>
  </si>
  <si>
    <t>ORD277</t>
  </si>
  <si>
    <t>ORD278</t>
  </si>
  <si>
    <t>ORD279</t>
  </si>
  <si>
    <t>ORD280</t>
  </si>
  <si>
    <t>ORD281</t>
  </si>
  <si>
    <t>ORD282</t>
  </si>
  <si>
    <t>ORD283</t>
  </si>
  <si>
    <t>ORD284</t>
  </si>
  <si>
    <t>ORD285</t>
  </si>
  <si>
    <t>ORD286</t>
  </si>
  <si>
    <t>ORD287</t>
  </si>
  <si>
    <t>ORD288</t>
  </si>
  <si>
    <t>ORD289</t>
  </si>
  <si>
    <t>ORD290</t>
  </si>
  <si>
    <t>ORD291</t>
  </si>
  <si>
    <t>ORD292</t>
  </si>
  <si>
    <t>ORD293</t>
  </si>
  <si>
    <t>ORD294</t>
  </si>
  <si>
    <t>ORD295</t>
  </si>
  <si>
    <t>ORD296</t>
  </si>
  <si>
    <t>ORD297</t>
  </si>
  <si>
    <t>ORD298</t>
  </si>
  <si>
    <t>ORD299</t>
  </si>
  <si>
    <t>ORD300</t>
  </si>
  <si>
    <t>ORD301</t>
  </si>
  <si>
    <t>ORD302</t>
  </si>
  <si>
    <t>ORD303</t>
  </si>
  <si>
    <t>ORD304</t>
  </si>
  <si>
    <t>ORD305</t>
  </si>
  <si>
    <t>ORD306</t>
  </si>
  <si>
    <t>ORD307</t>
  </si>
  <si>
    <t>ORD308</t>
  </si>
  <si>
    <t>ORD309</t>
  </si>
  <si>
    <t>ORD310</t>
  </si>
  <si>
    <t>ORD311</t>
  </si>
  <si>
    <t>ORD312</t>
  </si>
  <si>
    <t>ORD313</t>
  </si>
  <si>
    <t>ORD314</t>
  </si>
  <si>
    <t>ORD315</t>
  </si>
  <si>
    <t>ORD316</t>
  </si>
  <si>
    <t>ORD317</t>
  </si>
  <si>
    <t>ORD318</t>
  </si>
  <si>
    <t>ORD319</t>
  </si>
  <si>
    <t>ORD320</t>
  </si>
  <si>
    <t>ORD321</t>
  </si>
  <si>
    <t>ORD322</t>
  </si>
  <si>
    <t>ORD323</t>
  </si>
  <si>
    <t>ORD324</t>
  </si>
  <si>
    <t>ORD325</t>
  </si>
  <si>
    <t>ORD326</t>
  </si>
  <si>
    <t>ORD327</t>
  </si>
  <si>
    <t>ORD328</t>
  </si>
  <si>
    <t>ORD329</t>
  </si>
  <si>
    <t>ORD330</t>
  </si>
  <si>
    <t>ORD331</t>
  </si>
  <si>
    <t>ORD332</t>
  </si>
  <si>
    <t>ORD333</t>
  </si>
  <si>
    <t>ORD334</t>
  </si>
  <si>
    <t>ORD335</t>
  </si>
  <si>
    <t>ORD336</t>
  </si>
  <si>
    <t>ORD337</t>
  </si>
  <si>
    <t>ORD338</t>
  </si>
  <si>
    <t>ORD339</t>
  </si>
  <si>
    <t>ORD340</t>
  </si>
  <si>
    <t>ORD341</t>
  </si>
  <si>
    <t>ORD342</t>
  </si>
  <si>
    <t>ORD343</t>
  </si>
  <si>
    <t>ORD344</t>
  </si>
  <si>
    <t>ORD345</t>
  </si>
  <si>
    <t>ORD346</t>
  </si>
  <si>
    <t>ORD347</t>
  </si>
  <si>
    <t>ORD348</t>
  </si>
  <si>
    <t>ORD349</t>
  </si>
  <si>
    <t>ORD350</t>
  </si>
  <si>
    <t>ORD351</t>
  </si>
  <si>
    <t>ORD352</t>
  </si>
  <si>
    <t>ORD353</t>
  </si>
  <si>
    <t>ORD354</t>
  </si>
  <si>
    <t>ORD355</t>
  </si>
  <si>
    <t>ORD356</t>
  </si>
  <si>
    <t>ORD357</t>
  </si>
  <si>
    <t>ORD358</t>
  </si>
  <si>
    <t>ORD359</t>
  </si>
  <si>
    <t>ORD360</t>
  </si>
  <si>
    <t>ORD361</t>
  </si>
  <si>
    <t>ORD362</t>
  </si>
  <si>
    <t>ORD363</t>
  </si>
  <si>
    <t>ORD364</t>
  </si>
  <si>
    <t>ORD365</t>
  </si>
  <si>
    <t>ORD366</t>
  </si>
  <si>
    <t>ORD367</t>
  </si>
  <si>
    <t>ORD368</t>
  </si>
  <si>
    <t>ORD369</t>
  </si>
  <si>
    <t>ORD370</t>
  </si>
  <si>
    <t>ORD371</t>
  </si>
  <si>
    <t>ORD372</t>
  </si>
  <si>
    <t>ORD373</t>
  </si>
  <si>
    <t>ORD374</t>
  </si>
  <si>
    <t>ORD375</t>
  </si>
  <si>
    <t>ORD376</t>
  </si>
  <si>
    <t>ORD377</t>
  </si>
  <si>
    <t>ORD378</t>
  </si>
  <si>
    <t>ORD379</t>
  </si>
  <si>
    <t>ORD380</t>
  </si>
  <si>
    <t>ORD381</t>
  </si>
  <si>
    <t>ORD382</t>
  </si>
  <si>
    <t>ORD384</t>
  </si>
  <si>
    <t>ORD385</t>
  </si>
  <si>
    <t>ORD386</t>
  </si>
  <si>
    <t>ORD387</t>
  </si>
  <si>
    <t>ORD388</t>
  </si>
  <si>
    <t>ORD389</t>
  </si>
  <si>
    <t>ORD390</t>
  </si>
  <si>
    <t>ORD391</t>
  </si>
  <si>
    <t>ORD392</t>
  </si>
  <si>
    <t>ORD393</t>
  </si>
  <si>
    <t>ORD394</t>
  </si>
  <si>
    <t>ORD395</t>
  </si>
  <si>
    <t>ORD396</t>
  </si>
  <si>
    <t>ORD397</t>
  </si>
  <si>
    <t>ORD398</t>
  </si>
  <si>
    <t>ORD399</t>
  </si>
  <si>
    <t>ORD400</t>
  </si>
  <si>
    <t>ORD401</t>
  </si>
  <si>
    <t>ORD402</t>
  </si>
  <si>
    <t>ORD403</t>
  </si>
  <si>
    <t>ORD404</t>
  </si>
  <si>
    <t>ORD405</t>
  </si>
  <si>
    <t>ORD406</t>
  </si>
  <si>
    <t>ORD407</t>
  </si>
  <si>
    <t>ORD408</t>
  </si>
  <si>
    <t>ORD409</t>
  </si>
  <si>
    <t>ORD410</t>
  </si>
  <si>
    <t>ORD411</t>
  </si>
  <si>
    <t>ORD412</t>
  </si>
  <si>
    <t>ORD413</t>
  </si>
  <si>
    <t>ORD414</t>
  </si>
  <si>
    <t>ORD415</t>
  </si>
  <si>
    <t>ORD416</t>
  </si>
  <si>
    <t>ORD417</t>
  </si>
  <si>
    <t>ORD418</t>
  </si>
  <si>
    <t>ORD419</t>
  </si>
  <si>
    <t>ORD420</t>
  </si>
  <si>
    <t>ORD421</t>
  </si>
  <si>
    <t>ORD422</t>
  </si>
  <si>
    <t>ORD423</t>
  </si>
  <si>
    <t>ORD424</t>
  </si>
  <si>
    <t>ORD425</t>
  </si>
  <si>
    <t>ORD426</t>
  </si>
  <si>
    <t>ORD427</t>
  </si>
  <si>
    <t>ORD428</t>
  </si>
  <si>
    <t>ORD429</t>
  </si>
  <si>
    <t>ORD430</t>
  </si>
  <si>
    <t>ORD431</t>
  </si>
  <si>
    <t>ORD432</t>
  </si>
  <si>
    <t>ORD433</t>
  </si>
  <si>
    <t>ORD434</t>
  </si>
  <si>
    <t>ORD435</t>
  </si>
  <si>
    <t>ORD436</t>
  </si>
  <si>
    <t>ORD437</t>
  </si>
  <si>
    <t>ORD438</t>
  </si>
  <si>
    <t>ORD439</t>
  </si>
  <si>
    <t>ORD440</t>
  </si>
  <si>
    <t>ORD441</t>
  </si>
  <si>
    <t>ORD442</t>
  </si>
  <si>
    <t>ORD443</t>
  </si>
  <si>
    <t>ORD444</t>
  </si>
  <si>
    <t>ORD445</t>
  </si>
  <si>
    <t>ORD446</t>
  </si>
  <si>
    <t>ORD447</t>
  </si>
  <si>
    <t>ORD448</t>
  </si>
  <si>
    <t>ORD449</t>
  </si>
  <si>
    <t>ORD450</t>
  </si>
  <si>
    <t>ORD451</t>
  </si>
  <si>
    <t>ORD452</t>
  </si>
  <si>
    <t>ORD453</t>
  </si>
  <si>
    <t>ORD454</t>
  </si>
  <si>
    <t>ORD455</t>
  </si>
  <si>
    <t>ORD456</t>
  </si>
  <si>
    <t>ORD457</t>
  </si>
  <si>
    <t>ORD458</t>
  </si>
  <si>
    <t>ORD459</t>
  </si>
  <si>
    <t>ORD460</t>
  </si>
  <si>
    <t>ORD461</t>
  </si>
  <si>
    <t>ORD462</t>
  </si>
  <si>
    <t>ORD463</t>
  </si>
  <si>
    <t>ORD464</t>
  </si>
  <si>
    <t>ORD465</t>
  </si>
  <si>
    <t>ORD466</t>
  </si>
  <si>
    <t>ORD467</t>
  </si>
  <si>
    <t>ORD468</t>
  </si>
  <si>
    <t>ORD469</t>
  </si>
  <si>
    <t>ORD470</t>
  </si>
  <si>
    <t>ORD471</t>
  </si>
  <si>
    <t>ORD472</t>
  </si>
  <si>
    <t>ORD473</t>
  </si>
  <si>
    <t>ORD474</t>
  </si>
  <si>
    <t>ORD475</t>
  </si>
  <si>
    <t>ORD476</t>
  </si>
  <si>
    <t>ORD477</t>
  </si>
  <si>
    <t>ORD478</t>
  </si>
  <si>
    <t>ORD479</t>
  </si>
  <si>
    <t>ORD480</t>
  </si>
  <si>
    <t>ORD481</t>
  </si>
  <si>
    <t>ORD482</t>
  </si>
  <si>
    <t>ORD483</t>
  </si>
  <si>
    <t>ORD484</t>
  </si>
  <si>
    <t>ORD485</t>
  </si>
  <si>
    <t>ORD486</t>
  </si>
  <si>
    <t>ORD487</t>
  </si>
  <si>
    <t>ORD488</t>
  </si>
  <si>
    <t>ORD489</t>
  </si>
  <si>
    <t>ORD490</t>
  </si>
  <si>
    <t>ORD491</t>
  </si>
  <si>
    <t>ORD492</t>
  </si>
  <si>
    <t>ORD493</t>
  </si>
  <si>
    <t>ORD494</t>
  </si>
  <si>
    <t>ORD495</t>
  </si>
  <si>
    <t>ORD496</t>
  </si>
  <si>
    <t>ORD497</t>
  </si>
  <si>
    <t>ORD498</t>
  </si>
  <si>
    <t>ORD499</t>
  </si>
  <si>
    <t>ORD500</t>
  </si>
  <si>
    <t>ORD501</t>
  </si>
  <si>
    <t>ORD502</t>
  </si>
  <si>
    <t>ORD503</t>
  </si>
  <si>
    <t>ORD504</t>
  </si>
  <si>
    <t>ORD505</t>
  </si>
  <si>
    <t>ORD506</t>
  </si>
  <si>
    <t>ORD507</t>
  </si>
  <si>
    <t>ORD508</t>
  </si>
  <si>
    <t>ORD509</t>
  </si>
  <si>
    <t>ORD510</t>
  </si>
  <si>
    <t>ORD511</t>
  </si>
  <si>
    <t>ORD512</t>
  </si>
  <si>
    <t>ORD513</t>
  </si>
  <si>
    <t>ORD514</t>
  </si>
  <si>
    <t>ORD515</t>
  </si>
  <si>
    <t>ORD516</t>
  </si>
  <si>
    <t>ORD517</t>
  </si>
  <si>
    <t>ORD518</t>
  </si>
  <si>
    <t>ORD519</t>
  </si>
  <si>
    <t>ORD520</t>
  </si>
  <si>
    <t>ORD521</t>
  </si>
  <si>
    <t>ORD522</t>
  </si>
  <si>
    <t>ORD523</t>
  </si>
  <si>
    <t>ORD524</t>
  </si>
  <si>
    <t>ORD525</t>
  </si>
  <si>
    <t>ORD526</t>
  </si>
  <si>
    <t>ORD527</t>
  </si>
  <si>
    <t>ORD528</t>
  </si>
  <si>
    <t>ORD529</t>
  </si>
  <si>
    <t>ORD530</t>
  </si>
  <si>
    <t>ORD531</t>
  </si>
  <si>
    <t>ORD532</t>
  </si>
  <si>
    <t>ORD533</t>
  </si>
  <si>
    <t>ORD534</t>
  </si>
  <si>
    <t>ORD535</t>
  </si>
  <si>
    <t>ORD536</t>
  </si>
  <si>
    <t>ORD537</t>
  </si>
  <si>
    <t>ORD538</t>
  </si>
  <si>
    <t>ORD539</t>
  </si>
  <si>
    <t>ORD540</t>
  </si>
  <si>
    <t>ORD541</t>
  </si>
  <si>
    <t>ORD542</t>
  </si>
  <si>
    <t>ORD543</t>
  </si>
  <si>
    <t>ORD544</t>
  </si>
  <si>
    <t>ORD545</t>
  </si>
  <si>
    <t>ORD546</t>
  </si>
  <si>
    <t>ORD547</t>
  </si>
  <si>
    <t>ORD548</t>
  </si>
  <si>
    <t>ORD549</t>
  </si>
  <si>
    <t>ORD550</t>
  </si>
  <si>
    <t>ORD551</t>
  </si>
  <si>
    <t>ORD552</t>
  </si>
  <si>
    <t>ORD553</t>
  </si>
  <si>
    <t>ORD554</t>
  </si>
  <si>
    <t>ORD555</t>
  </si>
  <si>
    <t>ORD556</t>
  </si>
  <si>
    <t>ORD557</t>
  </si>
  <si>
    <t>ORD558</t>
  </si>
  <si>
    <t>ORD559</t>
  </si>
  <si>
    <t>ORD560</t>
  </si>
  <si>
    <t>ORD561</t>
  </si>
  <si>
    <t>ORD562</t>
  </si>
  <si>
    <t>ORD563</t>
  </si>
  <si>
    <t>ORD564</t>
  </si>
  <si>
    <t>ORD565</t>
  </si>
  <si>
    <t>ORD566</t>
  </si>
  <si>
    <t>ORD567</t>
  </si>
  <si>
    <t>ORD568</t>
  </si>
  <si>
    <t>ORD569</t>
  </si>
  <si>
    <t>ORD570</t>
  </si>
  <si>
    <t>ORD571</t>
  </si>
  <si>
    <t>ORD572</t>
  </si>
  <si>
    <t>ORD573</t>
  </si>
  <si>
    <t>ORD574</t>
  </si>
  <si>
    <t>ORD575</t>
  </si>
  <si>
    <t>ORD576</t>
  </si>
  <si>
    <t>ORD577</t>
  </si>
  <si>
    <t>ORD578</t>
  </si>
  <si>
    <t>ORD579</t>
  </si>
  <si>
    <t>ORD580</t>
  </si>
  <si>
    <t>ORD581</t>
  </si>
  <si>
    <t>ORD582</t>
  </si>
  <si>
    <t>ORD583</t>
  </si>
  <si>
    <t>ORD584</t>
  </si>
  <si>
    <t>ORD585</t>
  </si>
  <si>
    <t>ORD586</t>
  </si>
  <si>
    <t>ORD587</t>
  </si>
  <si>
    <t>ORD588</t>
  </si>
  <si>
    <t>ORD589</t>
  </si>
  <si>
    <t>ORD590</t>
  </si>
  <si>
    <t>ORD591</t>
  </si>
  <si>
    <t>ORD592</t>
  </si>
  <si>
    <t>ORD593</t>
  </si>
  <si>
    <t>ORD594</t>
  </si>
  <si>
    <t>ORD595</t>
  </si>
  <si>
    <t>ORD596</t>
  </si>
  <si>
    <t>ORD597</t>
  </si>
  <si>
    <t>ORD598</t>
  </si>
  <si>
    <t>ORD599</t>
  </si>
  <si>
    <t>ORD600</t>
  </si>
  <si>
    <t>ORD601</t>
  </si>
  <si>
    <t>ORD602</t>
  </si>
  <si>
    <t>ORD603</t>
  </si>
  <si>
    <t>ORD604</t>
  </si>
  <si>
    <t>ORD605</t>
  </si>
  <si>
    <t>ORD606</t>
  </si>
  <si>
    <t>ORD607</t>
  </si>
  <si>
    <t>ORD608</t>
  </si>
  <si>
    <t>ORD609</t>
  </si>
  <si>
    <t>ORD610</t>
  </si>
  <si>
    <t>ORD611</t>
  </si>
  <si>
    <t>ORD612</t>
  </si>
  <si>
    <t>ORD613</t>
  </si>
  <si>
    <t>ORD614</t>
  </si>
  <si>
    <t>ORD615</t>
  </si>
  <si>
    <t>ORD616</t>
  </si>
  <si>
    <t>ORD617</t>
  </si>
  <si>
    <t>ORD618</t>
  </si>
  <si>
    <t>ORD619</t>
  </si>
  <si>
    <t>ORD620</t>
  </si>
  <si>
    <t>ORD621</t>
  </si>
  <si>
    <t>ORD622</t>
  </si>
  <si>
    <t>ORD623</t>
  </si>
  <si>
    <t>ORD624</t>
  </si>
  <si>
    <t>ORD625</t>
  </si>
  <si>
    <t>ORD626</t>
  </si>
  <si>
    <t>ORD627</t>
  </si>
  <si>
    <t>ORD628</t>
  </si>
  <si>
    <t>ORD629</t>
  </si>
  <si>
    <t>ORD630</t>
  </si>
  <si>
    <t>ORD631</t>
  </si>
  <si>
    <t>ORD632</t>
  </si>
  <si>
    <t>ORD633</t>
  </si>
  <si>
    <t>ORD634</t>
  </si>
  <si>
    <t>ORD635</t>
  </si>
  <si>
    <t>ORD636</t>
  </si>
  <si>
    <t>ORD637</t>
  </si>
  <si>
    <t>ORD638</t>
  </si>
  <si>
    <t>ORD639</t>
  </si>
  <si>
    <t>ORD640</t>
  </si>
  <si>
    <t>ORD641</t>
  </si>
  <si>
    <t>ORD642</t>
  </si>
  <si>
    <t>ORD643</t>
  </si>
  <si>
    <t>ORD644</t>
  </si>
  <si>
    <t>ORD645</t>
  </si>
  <si>
    <t>ORD646</t>
  </si>
  <si>
    <t>ORD647</t>
  </si>
  <si>
    <t>ORD648</t>
  </si>
  <si>
    <t>ORD649</t>
  </si>
  <si>
    <t>ORD650</t>
  </si>
  <si>
    <t>ORD651</t>
  </si>
  <si>
    <t>ORD652</t>
  </si>
  <si>
    <t>ORD653</t>
  </si>
  <si>
    <t>ORD654</t>
  </si>
  <si>
    <t>ORD655</t>
  </si>
  <si>
    <t>ORD656</t>
  </si>
  <si>
    <t>ORD657</t>
  </si>
  <si>
    <t>ORD658</t>
  </si>
  <si>
    <t>ORD659</t>
  </si>
  <si>
    <t>ORD660</t>
  </si>
  <si>
    <t>ORD661</t>
  </si>
  <si>
    <t>ORD662</t>
  </si>
  <si>
    <t>ORD663</t>
  </si>
  <si>
    <t>ORD664</t>
  </si>
  <si>
    <t>ORD665</t>
  </si>
  <si>
    <t>ORD666</t>
  </si>
  <si>
    <t>ORD667</t>
  </si>
  <si>
    <t>ORD668</t>
  </si>
  <si>
    <t>ORD669</t>
  </si>
  <si>
    <t>ORD670</t>
  </si>
  <si>
    <t>ORD671</t>
  </si>
  <si>
    <t>ORD672</t>
  </si>
  <si>
    <t>ORD673</t>
  </si>
  <si>
    <t>ORD674</t>
  </si>
  <si>
    <t>ORD675</t>
  </si>
  <si>
    <t>ORD676</t>
  </si>
  <si>
    <t>ORD677</t>
  </si>
  <si>
    <t>ORD678</t>
  </si>
  <si>
    <t>ORD679</t>
  </si>
  <si>
    <t>ORD680</t>
  </si>
  <si>
    <t>ORD681</t>
  </si>
  <si>
    <t>ORD682</t>
  </si>
  <si>
    <t>ORD683</t>
  </si>
  <si>
    <t>ORD684</t>
  </si>
  <si>
    <t>ORD685</t>
  </si>
  <si>
    <t>ORD686</t>
  </si>
  <si>
    <t>ORD687</t>
  </si>
  <si>
    <t>ORD688</t>
  </si>
  <si>
    <t>ORD689</t>
  </si>
  <si>
    <t>ORD690</t>
  </si>
  <si>
    <t>ORD691</t>
  </si>
  <si>
    <t>ORD692</t>
  </si>
  <si>
    <t>ORD693</t>
  </si>
  <si>
    <t>ORD694</t>
  </si>
  <si>
    <t>ORD695</t>
  </si>
  <si>
    <t>ORD696</t>
  </si>
  <si>
    <t>ORD697</t>
  </si>
  <si>
    <t>ORD698</t>
  </si>
  <si>
    <t>ORD699</t>
  </si>
  <si>
    <t>ORD700</t>
  </si>
  <si>
    <t>ORD701</t>
  </si>
  <si>
    <t>ORD702</t>
  </si>
  <si>
    <t>ORD703</t>
  </si>
  <si>
    <t>ORD704</t>
  </si>
  <si>
    <t>ORD705</t>
  </si>
  <si>
    <t>ORD706</t>
  </si>
  <si>
    <t>ORD707</t>
  </si>
  <si>
    <t>ORD708</t>
  </si>
  <si>
    <t>ORD709</t>
  </si>
  <si>
    <t>ORD710</t>
  </si>
  <si>
    <t>ORD711</t>
  </si>
  <si>
    <t>ORD712</t>
  </si>
  <si>
    <t>ORD713</t>
  </si>
  <si>
    <t>ORD714</t>
  </si>
  <si>
    <t>ORD715</t>
  </si>
  <si>
    <t>ORD716</t>
  </si>
  <si>
    <t>ORD717</t>
  </si>
  <si>
    <t>ORD718</t>
  </si>
  <si>
    <t>ORD719</t>
  </si>
  <si>
    <t>ORD720</t>
  </si>
  <si>
    <t>ORD721</t>
  </si>
  <si>
    <t>ORD722</t>
  </si>
  <si>
    <t>ORD723</t>
  </si>
  <si>
    <t>ORD724</t>
  </si>
  <si>
    <t>ORD725</t>
  </si>
  <si>
    <t>ORD726</t>
  </si>
  <si>
    <t>ORD727</t>
  </si>
  <si>
    <t>ORD728</t>
  </si>
  <si>
    <t>ORD729</t>
  </si>
  <si>
    <t>ORD730</t>
  </si>
  <si>
    <t>ORD731</t>
  </si>
  <si>
    <t>ORD732</t>
  </si>
  <si>
    <t>ORD733</t>
  </si>
  <si>
    <t>ORD734</t>
  </si>
  <si>
    <t>ORD735</t>
  </si>
  <si>
    <t>ORD736</t>
  </si>
  <si>
    <t>ORD737</t>
  </si>
  <si>
    <t>ORD738</t>
  </si>
  <si>
    <t>ORD739</t>
  </si>
  <si>
    <t>ORD740</t>
  </si>
  <si>
    <t>ORD741</t>
  </si>
  <si>
    <t>ORD742</t>
  </si>
  <si>
    <t>ORD743</t>
  </si>
  <si>
    <t>ORD744</t>
  </si>
  <si>
    <t>ORD745</t>
  </si>
  <si>
    <t>ORD746</t>
  </si>
  <si>
    <t>ORD747</t>
  </si>
  <si>
    <t>ORD748</t>
  </si>
  <si>
    <t>ORD749</t>
  </si>
  <si>
    <t>ORD750</t>
  </si>
  <si>
    <t>ORD751</t>
  </si>
  <si>
    <t>ORD752</t>
  </si>
  <si>
    <t>ORD753</t>
  </si>
  <si>
    <t>ORD754</t>
  </si>
  <si>
    <t>ORD755</t>
  </si>
  <si>
    <t>ORD756</t>
  </si>
  <si>
    <t>ORD757</t>
  </si>
  <si>
    <t>ORD758</t>
  </si>
  <si>
    <t>ORD759</t>
  </si>
  <si>
    <t>ORD760</t>
  </si>
  <si>
    <t>ORD761</t>
  </si>
  <si>
    <t>ORD762</t>
  </si>
  <si>
    <t>ORD763</t>
  </si>
  <si>
    <t>ORD764</t>
  </si>
  <si>
    <t>ORD765</t>
  </si>
  <si>
    <t>ORD766</t>
  </si>
  <si>
    <t>ORD767</t>
  </si>
  <si>
    <t>ORD768</t>
  </si>
  <si>
    <t>ORD769</t>
  </si>
  <si>
    <t>ORD770</t>
  </si>
  <si>
    <t>ORD771</t>
  </si>
  <si>
    <t>ORD772</t>
  </si>
  <si>
    <t>ORD773</t>
  </si>
  <si>
    <t>ORD774</t>
  </si>
  <si>
    <t>ORD775</t>
  </si>
  <si>
    <t>ORD776</t>
  </si>
  <si>
    <t>ORD777</t>
  </si>
  <si>
    <t>ORD778</t>
  </si>
  <si>
    <t>ORD779</t>
  </si>
  <si>
    <t>ORD780</t>
  </si>
  <si>
    <t>ORD781</t>
  </si>
  <si>
    <t>ORD782</t>
  </si>
  <si>
    <t>ORD783</t>
  </si>
  <si>
    <t>ORD784</t>
  </si>
  <si>
    <t>ORD785</t>
  </si>
  <si>
    <t>ORD786</t>
  </si>
  <si>
    <t>ORD787</t>
  </si>
  <si>
    <t>ORD788</t>
  </si>
  <si>
    <t>ORD789</t>
  </si>
  <si>
    <t>ORD790</t>
  </si>
  <si>
    <t>ORD791</t>
  </si>
  <si>
    <t>ORD792</t>
  </si>
  <si>
    <t>ORD793</t>
  </si>
  <si>
    <t>ORD794</t>
  </si>
  <si>
    <t>ORD795</t>
  </si>
  <si>
    <t>ORD796</t>
  </si>
  <si>
    <t>ORD797</t>
  </si>
  <si>
    <t>ORD798</t>
  </si>
  <si>
    <t>ORD799</t>
  </si>
  <si>
    <t>ORD800</t>
  </si>
  <si>
    <t>ORD801</t>
  </si>
  <si>
    <t>ORD802</t>
  </si>
  <si>
    <t>ORD803</t>
  </si>
  <si>
    <t>ORD804</t>
  </si>
  <si>
    <t>ORD805</t>
  </si>
  <si>
    <t>ORD806</t>
  </si>
  <si>
    <t>ORD807</t>
  </si>
  <si>
    <t>ORD808</t>
  </si>
  <si>
    <t>ORD809</t>
  </si>
  <si>
    <t>ORD810</t>
  </si>
  <si>
    <t>ORD811</t>
  </si>
  <si>
    <t>ORD812</t>
  </si>
  <si>
    <t>ORD813</t>
  </si>
  <si>
    <t>ORD814</t>
  </si>
  <si>
    <t>ORD815</t>
  </si>
  <si>
    <t>ORD816</t>
  </si>
  <si>
    <t>ORD817</t>
  </si>
  <si>
    <t>ORD818</t>
  </si>
  <si>
    <t>ORD819</t>
  </si>
  <si>
    <t>ORD820</t>
  </si>
  <si>
    <t>ORD821</t>
  </si>
  <si>
    <t>ORD822</t>
  </si>
  <si>
    <t>ORD823</t>
  </si>
  <si>
    <t>ORD824</t>
  </si>
  <si>
    <t>ORD825</t>
  </si>
  <si>
    <t>ORD826</t>
  </si>
  <si>
    <t>ORD827</t>
  </si>
  <si>
    <t>ORD828</t>
  </si>
  <si>
    <t>ORD829</t>
  </si>
  <si>
    <t>ORD830</t>
  </si>
  <si>
    <t>ORD831</t>
  </si>
  <si>
    <t>ORD832</t>
  </si>
  <si>
    <t>ORD833</t>
  </si>
  <si>
    <t>ORD834</t>
  </si>
  <si>
    <t>ORD835</t>
  </si>
  <si>
    <t>ORD836</t>
  </si>
  <si>
    <t>ORD837</t>
  </si>
  <si>
    <t>ORD838</t>
  </si>
  <si>
    <t>ORD839</t>
  </si>
  <si>
    <t>ORD840</t>
  </si>
  <si>
    <t>ORD841</t>
  </si>
  <si>
    <t>ORD842</t>
  </si>
  <si>
    <t>ORD843</t>
  </si>
  <si>
    <t>ORD844</t>
  </si>
  <si>
    <t>ORD845</t>
  </si>
  <si>
    <t>ORD846</t>
  </si>
  <si>
    <t>ORD847</t>
  </si>
  <si>
    <t>ORD848</t>
  </si>
  <si>
    <t>ORD849</t>
  </si>
  <si>
    <t>ORD850</t>
  </si>
  <si>
    <t>ORD851</t>
  </si>
  <si>
    <t>ORD852</t>
  </si>
  <si>
    <t>ORD853</t>
  </si>
  <si>
    <t>ORD854</t>
  </si>
  <si>
    <t>ORD855</t>
  </si>
  <si>
    <t>ORD856</t>
  </si>
  <si>
    <t>ORD857</t>
  </si>
  <si>
    <t>ORD858</t>
  </si>
  <si>
    <t>ORD859</t>
  </si>
  <si>
    <t>ORD860</t>
  </si>
  <si>
    <t>ORD861</t>
  </si>
  <si>
    <t>ORD862</t>
  </si>
  <si>
    <t>ORD863</t>
  </si>
  <si>
    <t>ORD864</t>
  </si>
  <si>
    <t>ORD865</t>
  </si>
  <si>
    <t>ORD866</t>
  </si>
  <si>
    <t>ORD867</t>
  </si>
  <si>
    <t>ORD868</t>
  </si>
  <si>
    <t>ORD869</t>
  </si>
  <si>
    <t>ORD870</t>
  </si>
  <si>
    <t>ORD871</t>
  </si>
  <si>
    <t>ORD872</t>
  </si>
  <si>
    <t>ORD873</t>
  </si>
  <si>
    <t>ORD874</t>
  </si>
  <si>
    <t>ORD875</t>
  </si>
  <si>
    <t>ORD876</t>
  </si>
  <si>
    <t>ORD877</t>
  </si>
  <si>
    <t>ORD878</t>
  </si>
  <si>
    <t>ORD879</t>
  </si>
  <si>
    <t>ORD880</t>
  </si>
  <si>
    <t>ORD881</t>
  </si>
  <si>
    <t>ORD882</t>
  </si>
  <si>
    <t>ORD883</t>
  </si>
  <si>
    <t>ORD884</t>
  </si>
  <si>
    <t>ORD885</t>
  </si>
  <si>
    <t>ORD886</t>
  </si>
  <si>
    <t>ORD887</t>
  </si>
  <si>
    <t>ORD888</t>
  </si>
  <si>
    <t>ORD889</t>
  </si>
  <si>
    <t>ORD890</t>
  </si>
  <si>
    <t>ORD891</t>
  </si>
  <si>
    <t>ORD892</t>
  </si>
  <si>
    <t>ORD893</t>
  </si>
  <si>
    <t>ORD894</t>
  </si>
  <si>
    <t>ORD895</t>
  </si>
  <si>
    <t>ORD896</t>
  </si>
  <si>
    <t>ORD897</t>
  </si>
  <si>
    <t>ORD898</t>
  </si>
  <si>
    <t>ORD899</t>
  </si>
  <si>
    <t>ORD900</t>
  </si>
  <si>
    <t>ORD901</t>
  </si>
  <si>
    <t>ORD902</t>
  </si>
  <si>
    <t>ORD903</t>
  </si>
  <si>
    <t>ORD904</t>
  </si>
  <si>
    <t>ORD905</t>
  </si>
  <si>
    <t>ORD906</t>
  </si>
  <si>
    <t>ORD907</t>
  </si>
  <si>
    <t>ORD908</t>
  </si>
  <si>
    <t>ORD909</t>
  </si>
  <si>
    <t>ORD910</t>
  </si>
  <si>
    <t>ORD911</t>
  </si>
  <si>
    <t>ORD912</t>
  </si>
  <si>
    <t>ORD913</t>
  </si>
  <si>
    <t>ORD914</t>
  </si>
  <si>
    <t>ORD915</t>
  </si>
  <si>
    <t>ORD916</t>
  </si>
  <si>
    <t>ORD917</t>
  </si>
  <si>
    <t>ORD918</t>
  </si>
  <si>
    <t>ORD919</t>
  </si>
  <si>
    <t>ORD920</t>
  </si>
  <si>
    <t>ORD921</t>
  </si>
  <si>
    <t>ORD922</t>
  </si>
  <si>
    <t>ORD923</t>
  </si>
  <si>
    <t>ORD924</t>
  </si>
  <si>
    <t>ORD925</t>
  </si>
  <si>
    <t>ORD926</t>
  </si>
  <si>
    <t>ORD927</t>
  </si>
  <si>
    <t>ORD928</t>
  </si>
  <si>
    <t>ORD929</t>
  </si>
  <si>
    <t>ORD930</t>
  </si>
  <si>
    <t>ORD931</t>
  </si>
  <si>
    <t>ORD932</t>
  </si>
  <si>
    <t>ORD933</t>
  </si>
  <si>
    <t>ORD934</t>
  </si>
  <si>
    <t>ORD935</t>
  </si>
  <si>
    <t>ORD936</t>
  </si>
  <si>
    <t>ORD937</t>
  </si>
  <si>
    <t>ORD938</t>
  </si>
  <si>
    <t>ORD939</t>
  </si>
  <si>
    <t>ORD940</t>
  </si>
  <si>
    <t>ORD941</t>
  </si>
  <si>
    <t>ORD942</t>
  </si>
  <si>
    <t>ORD943</t>
  </si>
  <si>
    <t>ORD944</t>
  </si>
  <si>
    <t>ORD945</t>
  </si>
  <si>
    <t>ORD946</t>
  </si>
  <si>
    <t>ORD947</t>
  </si>
  <si>
    <t>ORD948</t>
  </si>
  <si>
    <t>ORD949</t>
  </si>
  <si>
    <t>ORD950</t>
  </si>
  <si>
    <t>ORD951</t>
  </si>
  <si>
    <t>ORD952</t>
  </si>
  <si>
    <t>ORD953</t>
  </si>
  <si>
    <t>ORD954</t>
  </si>
  <si>
    <t>ORD955</t>
  </si>
  <si>
    <t>ORD956</t>
  </si>
  <si>
    <t>ORD957</t>
  </si>
  <si>
    <t>ORD958</t>
  </si>
  <si>
    <t>ORD959</t>
  </si>
  <si>
    <t>ORD960</t>
  </si>
  <si>
    <t>ORD961</t>
  </si>
  <si>
    <t>ORD962</t>
  </si>
  <si>
    <t>ORD963</t>
  </si>
  <si>
    <t>ORD964</t>
  </si>
  <si>
    <t>ORD965</t>
  </si>
  <si>
    <t>ORD966</t>
  </si>
  <si>
    <t>ORD967</t>
  </si>
  <si>
    <t>ORD968</t>
  </si>
  <si>
    <t>ORD969</t>
  </si>
  <si>
    <t>ORD970</t>
  </si>
  <si>
    <t>ORD971</t>
  </si>
  <si>
    <t>ORD972</t>
  </si>
  <si>
    <t>ORD973</t>
  </si>
  <si>
    <t>ORD974</t>
  </si>
  <si>
    <t>ORD975</t>
  </si>
  <si>
    <t>ORD976</t>
  </si>
  <si>
    <t>ORD977</t>
  </si>
  <si>
    <t>ORD978</t>
  </si>
  <si>
    <t>ORD979</t>
  </si>
  <si>
    <t>ORD980</t>
  </si>
  <si>
    <t>ORD981</t>
  </si>
  <si>
    <t>ORD982</t>
  </si>
  <si>
    <t>ORD983</t>
  </si>
  <si>
    <t>ORD984</t>
  </si>
  <si>
    <t>ORD985</t>
  </si>
  <si>
    <t>ORD986</t>
  </si>
  <si>
    <t>ORD987</t>
  </si>
  <si>
    <t>ORD988</t>
  </si>
  <si>
    <t>ORD989</t>
  </si>
  <si>
    <t>ORD990</t>
  </si>
  <si>
    <t>ORD991</t>
  </si>
  <si>
    <t>ORD992</t>
  </si>
  <si>
    <t>ORD993</t>
  </si>
  <si>
    <t>ORD994</t>
  </si>
  <si>
    <t>ORD995</t>
  </si>
  <si>
    <t>ORD996</t>
  </si>
  <si>
    <t>ORD997</t>
  </si>
  <si>
    <t>ORD998</t>
  </si>
  <si>
    <t>ORD999</t>
  </si>
  <si>
    <t>ORD1000</t>
  </si>
  <si>
    <t>Alankrit Annual Sale Report (2023)</t>
  </si>
  <si>
    <t>Sum of Total Revenue</t>
  </si>
  <si>
    <t>Total</t>
  </si>
  <si>
    <t>Values</t>
  </si>
  <si>
    <t>Sum of Profit</t>
  </si>
  <si>
    <t>Sum of Units Sold</t>
  </si>
  <si>
    <t>Revenue</t>
  </si>
  <si>
    <t>Total Profit</t>
  </si>
  <si>
    <t>Profit %</t>
  </si>
  <si>
    <t>Total Units Sold</t>
  </si>
  <si>
    <t>Grand Total</t>
  </si>
  <si>
    <t>Count of Customer Feedback</t>
  </si>
  <si>
    <t>Profits</t>
  </si>
  <si>
    <t>MONTH</t>
  </si>
  <si>
    <t>Current Month</t>
  </si>
  <si>
    <t>Previous Month</t>
  </si>
  <si>
    <t>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</si>
</sst>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 #,##0.00_ ;_ * \-#,##0.00_ ;_ * &quot;-&quot;??_ ;_ @_ "/>
    <numFmt numFmtId="167" formatCode="_ * #,##0_ ;_ * \-#,##0_ ;_ * &quot;-&quot;??_ ;_ @_ "/>
    <numFmt numFmtId="168" formatCode="[$-F800]dddd\,\ mmmm\ dd\,\ yyyy"/>
  </numFmts>
  <fonts count="5" x14ac:knownFonts="1">
    <font>
      <sz val="11"/>
      <color theme="1"/>
      <name val="Calibri"/>
      <family val="2"/>
      <scheme val="minor"/>
    </font>
    <font>
      <b/>
      <sz val="20"/>
      <color theme="0"/>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17">
    <xf numFmtId="0" fontId="0" fillId="0" borderId="0" xfId="0"/>
    <xf numFmtId="14" fontId="0" fillId="0" borderId="0" xfId="0" applyNumberFormat="1"/>
    <xf numFmtId="0" fontId="1" fillId="2" borderId="0" xfId="0" applyFont="1" applyFill="1" applyAlignment="1">
      <alignment horizontal="center"/>
    </xf>
    <xf numFmtId="0" fontId="0" fillId="0" borderId="0" xfId="0" pivotButton="1"/>
    <xf numFmtId="0" fontId="0" fillId="0" borderId="0" xfId="0" applyNumberFormat="1"/>
    <xf numFmtId="9" fontId="0" fillId="0" borderId="0" xfId="0" applyNumberFormat="1"/>
    <xf numFmtId="10" fontId="0" fillId="0" borderId="0" xfId="0" applyNumberFormat="1"/>
    <xf numFmtId="167" fontId="0" fillId="0" borderId="0" xfId="1" applyNumberFormat="1" applyFont="1"/>
    <xf numFmtId="167" fontId="0" fillId="0" borderId="0" xfId="0" applyNumberFormat="1"/>
    <xf numFmtId="0" fontId="0" fillId="3" borderId="0" xfId="0" applyFill="1"/>
    <xf numFmtId="168" fontId="0" fillId="0" borderId="0" xfId="0" applyNumberFormat="1"/>
    <xf numFmtId="0" fontId="4" fillId="3" borderId="1" xfId="0" applyFont="1" applyFill="1" applyBorder="1"/>
    <xf numFmtId="17" fontId="4" fillId="3" borderId="1" xfId="0" applyNumberFormat="1" applyFont="1" applyFill="1" applyBorder="1" applyAlignment="1">
      <alignment horizontal="center" vertical="center"/>
    </xf>
    <xf numFmtId="0" fontId="3" fillId="0" borderId="0" xfId="0" applyFont="1" applyFill="1" applyAlignment="1"/>
    <xf numFmtId="167" fontId="0" fillId="0" borderId="0" xfId="1" applyNumberFormat="1" applyFont="1" applyFill="1" applyAlignment="1"/>
    <xf numFmtId="0" fontId="3" fillId="0" borderId="0" xfId="0" applyFont="1" applyFill="1"/>
    <xf numFmtId="9" fontId="0" fillId="0" borderId="0" xfId="2" applyFont="1" applyFill="1" applyAlignment="1"/>
  </cellXfs>
  <cellStyles count="3">
    <cellStyle name="Comma" xfId="1" builtinId="3"/>
    <cellStyle name="Normal" xfId="0" builtinId="0"/>
    <cellStyle name="Percent" xfId="2" builtinId="5"/>
  </cellStyles>
  <dxfs count="16">
    <dxf>
      <numFmt numFmtId="13" formatCode="0%"/>
    </dxf>
    <dxf>
      <numFmt numFmtId="167" formatCode="_ * #,##0_ ;_ * \-#,##0_ ;_ * &quot;-&quot;??_ ;_ @_ "/>
    </dxf>
    <dxf>
      <numFmt numFmtId="1" formatCode="0"/>
    </dxf>
    <dxf>
      <numFmt numFmtId="19" formatCode="dd/mm/yyyy"/>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eetMetadata" Target="metadata.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Rport.xlsm]Analysis!PivotTable9</c:name>
    <c:fmtId val="11"/>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8"/>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delete val="1"/>
          <c:extLst>
            <c:ext xmlns:c15="http://schemas.microsoft.com/office/drawing/2012/chart" uri="{CE6537A1-D6FC-4f65-9D91-7224C49458BB}"/>
          </c:extLst>
        </c:dLbl>
      </c:pivotFmt>
    </c:pivotFmts>
    <c:plotArea>
      <c:layout/>
      <c:lineChart>
        <c:grouping val="stacked"/>
        <c:varyColors val="0"/>
        <c:ser>
          <c:idx val="0"/>
          <c:order val="0"/>
          <c:tx>
            <c:strRef>
              <c:f>Analysis!$H$1:$H$2</c:f>
              <c:strCache>
                <c:ptCount val="1"/>
                <c:pt idx="0">
                  <c:v>Profits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Analysis!$G$3:$G$14</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Analysis!$H$3:$H$14</c:f>
              <c:numCache>
                <c:formatCode>General</c:formatCode>
                <c:ptCount val="11"/>
                <c:pt idx="0">
                  <c:v>10078962</c:v>
                </c:pt>
                <c:pt idx="1">
                  <c:v>5515784</c:v>
                </c:pt>
                <c:pt idx="2">
                  <c:v>6013308</c:v>
                </c:pt>
                <c:pt idx="3">
                  <c:v>7320781</c:v>
                </c:pt>
                <c:pt idx="4">
                  <c:v>7130478</c:v>
                </c:pt>
                <c:pt idx="5">
                  <c:v>6106492</c:v>
                </c:pt>
                <c:pt idx="6">
                  <c:v>6062208</c:v>
                </c:pt>
                <c:pt idx="7">
                  <c:v>6243061</c:v>
                </c:pt>
                <c:pt idx="8">
                  <c:v>9899019</c:v>
                </c:pt>
                <c:pt idx="9">
                  <c:v>7477376</c:v>
                </c:pt>
                <c:pt idx="10">
                  <c:v>6063511</c:v>
                </c:pt>
              </c:numCache>
            </c:numRef>
          </c:val>
          <c:smooth val="0"/>
          <c:extLst>
            <c:ext xmlns:c16="http://schemas.microsoft.com/office/drawing/2014/chart" uri="{C3380CC4-5D6E-409C-BE32-E72D297353CC}">
              <c16:uniqueId val="{00000000-1E0E-488F-A1C1-A89B43945FCD}"/>
            </c:ext>
          </c:extLst>
        </c:ser>
        <c:ser>
          <c:idx val="1"/>
          <c:order val="1"/>
          <c:tx>
            <c:strRef>
              <c:f>Analysis!$I$1:$I$2</c:f>
              <c:strCache>
                <c:ptCount val="1"/>
                <c:pt idx="0">
                  <c:v>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Analysis!$G$3:$G$14</c:f>
              <c:strCache>
                <c:ptCount val="11"/>
                <c:pt idx="0">
                  <c:v>January</c:v>
                </c:pt>
                <c:pt idx="1">
                  <c:v>February</c:v>
                </c:pt>
                <c:pt idx="2">
                  <c:v>March</c:v>
                </c:pt>
                <c:pt idx="3">
                  <c:v>April</c:v>
                </c:pt>
                <c:pt idx="4">
                  <c:v>May</c:v>
                </c:pt>
                <c:pt idx="5">
                  <c:v>June</c:v>
                </c:pt>
                <c:pt idx="6">
                  <c:v>July</c:v>
                </c:pt>
                <c:pt idx="7">
                  <c:v>August</c:v>
                </c:pt>
                <c:pt idx="8">
                  <c:v>September</c:v>
                </c:pt>
                <c:pt idx="9">
                  <c:v>October</c:v>
                </c:pt>
                <c:pt idx="10">
                  <c:v>November</c:v>
                </c:pt>
              </c:strCache>
            </c:strRef>
          </c:cat>
          <c:val>
            <c:numRef>
              <c:f>Analysis!$I$3:$I$14</c:f>
              <c:numCache>
                <c:formatCode>General</c:formatCode>
                <c:ptCount val="11"/>
                <c:pt idx="0">
                  <c:v>25035627</c:v>
                </c:pt>
                <c:pt idx="1">
                  <c:v>14317003</c:v>
                </c:pt>
                <c:pt idx="2">
                  <c:v>15501943</c:v>
                </c:pt>
                <c:pt idx="3">
                  <c:v>18679621</c:v>
                </c:pt>
                <c:pt idx="4">
                  <c:v>18097589</c:v>
                </c:pt>
                <c:pt idx="5">
                  <c:v>15820348</c:v>
                </c:pt>
                <c:pt idx="6">
                  <c:v>16245003</c:v>
                </c:pt>
                <c:pt idx="7">
                  <c:v>14905433</c:v>
                </c:pt>
                <c:pt idx="8">
                  <c:v>23770768</c:v>
                </c:pt>
                <c:pt idx="9">
                  <c:v>18896500</c:v>
                </c:pt>
                <c:pt idx="10">
                  <c:v>14947581</c:v>
                </c:pt>
              </c:numCache>
            </c:numRef>
          </c:val>
          <c:smooth val="0"/>
          <c:extLst>
            <c:ext xmlns:c16="http://schemas.microsoft.com/office/drawing/2014/chart" uri="{C3380CC4-5D6E-409C-BE32-E72D297353CC}">
              <c16:uniqueId val="{00000001-1E0E-488F-A1C1-A89B43945FCD}"/>
            </c:ext>
          </c:extLst>
        </c:ser>
        <c:dLbls>
          <c:showLegendKey val="0"/>
          <c:showVal val="0"/>
          <c:showCatName val="0"/>
          <c:showSerName val="0"/>
          <c:showPercent val="0"/>
          <c:showBubbleSize val="0"/>
        </c:dLbls>
        <c:marker val="1"/>
        <c:smooth val="0"/>
        <c:axId val="2005354288"/>
        <c:axId val="2013690176"/>
      </c:lineChart>
      <c:catAx>
        <c:axId val="200535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3690176"/>
        <c:crosses val="autoZero"/>
        <c:auto val="1"/>
        <c:lblAlgn val="ctr"/>
        <c:lblOffset val="100"/>
        <c:noMultiLvlLbl val="0"/>
      </c:catAx>
      <c:valAx>
        <c:axId val="201369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35428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Rport.xlsm]Analysis!PivotTable10</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Analysis!$L$1:$L$2</c:f>
              <c:strCache>
                <c:ptCount val="1"/>
                <c:pt idx="0">
                  <c:v>Sum of Total Revenue</c:v>
                </c:pt>
              </c:strCache>
            </c:strRef>
          </c:tx>
          <c:spPr>
            <a:solidFill>
              <a:schemeClr val="accent1"/>
            </a:solidFill>
            <a:ln>
              <a:noFill/>
            </a:ln>
            <a:effectLst/>
          </c:spPr>
          <c:invertIfNegative val="0"/>
          <c:cat>
            <c:strRef>
              <c:f>Analysis!$K$3:$K$6</c:f>
              <c:strCache>
                <c:ptCount val="3"/>
                <c:pt idx="0">
                  <c:v>Apparel</c:v>
                </c:pt>
                <c:pt idx="1">
                  <c:v>Bridal Wear</c:v>
                </c:pt>
                <c:pt idx="2">
                  <c:v>Home Décor</c:v>
                </c:pt>
              </c:strCache>
            </c:strRef>
          </c:cat>
          <c:val>
            <c:numRef>
              <c:f>Analysis!$L$3:$L$6</c:f>
              <c:numCache>
                <c:formatCode>General</c:formatCode>
                <c:ptCount val="3"/>
                <c:pt idx="0">
                  <c:v>77529407</c:v>
                </c:pt>
                <c:pt idx="1">
                  <c:v>38548675</c:v>
                </c:pt>
                <c:pt idx="2">
                  <c:v>80139334</c:v>
                </c:pt>
              </c:numCache>
            </c:numRef>
          </c:val>
          <c:extLst>
            <c:ext xmlns:c16="http://schemas.microsoft.com/office/drawing/2014/chart" uri="{C3380CC4-5D6E-409C-BE32-E72D297353CC}">
              <c16:uniqueId val="{00000000-A3B5-4EB2-B98E-D966A7B38237}"/>
            </c:ext>
          </c:extLst>
        </c:ser>
        <c:ser>
          <c:idx val="1"/>
          <c:order val="1"/>
          <c:tx>
            <c:strRef>
              <c:f>Analysis!$M$1:$M$2</c:f>
              <c:strCache>
                <c:ptCount val="1"/>
                <c:pt idx="0">
                  <c:v>Sum of Profit</c:v>
                </c:pt>
              </c:strCache>
            </c:strRef>
          </c:tx>
          <c:spPr>
            <a:solidFill>
              <a:schemeClr val="accent2"/>
            </a:solidFill>
            <a:ln>
              <a:noFill/>
            </a:ln>
            <a:effectLst/>
          </c:spPr>
          <c:invertIfNegative val="0"/>
          <c:cat>
            <c:strRef>
              <c:f>Analysis!$K$3:$K$6</c:f>
              <c:strCache>
                <c:ptCount val="3"/>
                <c:pt idx="0">
                  <c:v>Apparel</c:v>
                </c:pt>
                <c:pt idx="1">
                  <c:v>Bridal Wear</c:v>
                </c:pt>
                <c:pt idx="2">
                  <c:v>Home Décor</c:v>
                </c:pt>
              </c:strCache>
            </c:strRef>
          </c:cat>
          <c:val>
            <c:numRef>
              <c:f>Analysis!$M$3:$M$6</c:f>
              <c:numCache>
                <c:formatCode>General</c:formatCode>
                <c:ptCount val="3"/>
                <c:pt idx="0">
                  <c:v>31091551</c:v>
                </c:pt>
                <c:pt idx="1">
                  <c:v>14868098</c:v>
                </c:pt>
                <c:pt idx="2">
                  <c:v>31951331</c:v>
                </c:pt>
              </c:numCache>
            </c:numRef>
          </c:val>
          <c:extLst>
            <c:ext xmlns:c16="http://schemas.microsoft.com/office/drawing/2014/chart" uri="{C3380CC4-5D6E-409C-BE32-E72D297353CC}">
              <c16:uniqueId val="{00000001-A3B5-4EB2-B98E-D966A7B38237}"/>
            </c:ext>
          </c:extLst>
        </c:ser>
        <c:dLbls>
          <c:showLegendKey val="0"/>
          <c:showVal val="0"/>
          <c:showCatName val="0"/>
          <c:showSerName val="0"/>
          <c:showPercent val="0"/>
          <c:showBubbleSize val="0"/>
        </c:dLbls>
        <c:gapWidth val="219"/>
        <c:overlap val="-27"/>
        <c:axId val="2005021760"/>
        <c:axId val="2004463184"/>
      </c:barChart>
      <c:catAx>
        <c:axId val="200502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463184"/>
        <c:crosses val="autoZero"/>
        <c:auto val="1"/>
        <c:lblAlgn val="ctr"/>
        <c:lblOffset val="100"/>
        <c:noMultiLvlLbl val="0"/>
      </c:catAx>
      <c:valAx>
        <c:axId val="200446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02176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[Alankrit Annual Sales Rport.xlsm]Analysis!PivotTable11</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Unit sold</a:t>
            </a:r>
            <a:r>
              <a:rPr lang="en-IN" sz="1200" baseline="0"/>
              <a:t> via different channels</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
          <c:y val="0.27221056300146224"/>
          <c:w val="0.65562269002089024"/>
          <c:h val="0.61822424595989056"/>
        </c:manualLayout>
      </c:layout>
      <c:pieChart>
        <c:varyColors val="1"/>
        <c:ser>
          <c:idx val="0"/>
          <c:order val="0"/>
          <c:tx>
            <c:strRef>
              <c:f>Analysis!$P$1:$P$2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E76-4994-AFBE-05AE88645C5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76-4994-AFBE-05AE88645C5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E76-4994-AFBE-05AE88645C5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76-4994-AFBE-05AE88645C59}"/>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Analysis!$O$3:$O$7</c:f>
              <c:strCache>
                <c:ptCount val="4"/>
                <c:pt idx="0">
                  <c:v>Custom Order</c:v>
                </c:pt>
                <c:pt idx="1">
                  <c:v>Exhibition</c:v>
                </c:pt>
                <c:pt idx="2">
                  <c:v>In-Store</c:v>
                </c:pt>
                <c:pt idx="3">
                  <c:v>Online</c:v>
                </c:pt>
              </c:strCache>
            </c:strRef>
          </c:cat>
          <c:val>
            <c:numRef>
              <c:f>Analysis!$P$3:$P$7</c:f>
              <c:numCache>
                <c:formatCode>0.00%</c:formatCode>
                <c:ptCount val="4"/>
                <c:pt idx="0">
                  <c:v>0.26107848371596371</c:v>
                </c:pt>
                <c:pt idx="1">
                  <c:v>0.24381562555614877</c:v>
                </c:pt>
                <c:pt idx="2">
                  <c:v>0.24701904253425877</c:v>
                </c:pt>
                <c:pt idx="3">
                  <c:v>0.24808684819362875</c:v>
                </c:pt>
              </c:numCache>
            </c:numRef>
          </c:val>
          <c:extLst>
            <c:ext xmlns:c16="http://schemas.microsoft.com/office/drawing/2014/chart" uri="{C3380CC4-5D6E-409C-BE32-E72D297353CC}">
              <c16:uniqueId val="{00000008-5E76-4994-AFBE-05AE88645C5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2"/>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egendEntry>
        <c:idx val="3"/>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Entry>
      <c:layout>
        <c:manualLayout>
          <c:xMode val="edge"/>
          <c:yMode val="edge"/>
          <c:x val="0.68707482993197277"/>
          <c:y val="0.30170342478034784"/>
          <c:w val="0.27210884353741499"/>
          <c:h val="0.64227473501579679"/>
        </c:manualLayout>
      </c:layout>
      <c:overlay val="0"/>
      <c:spPr>
        <a:solidFill>
          <a:schemeClr val="tx1">
            <a:lumMod val="50000"/>
            <a:lumOff val="5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Analysis!$B$7:$B$8</c:f>
              <c:strCache>
                <c:ptCount val="2"/>
                <c:pt idx="0">
                  <c:v>Current Month</c:v>
                </c:pt>
                <c:pt idx="1">
                  <c:v>Previous Month</c:v>
                </c:pt>
              </c:strCache>
            </c:strRef>
          </c:cat>
          <c:val>
            <c:numRef>
              <c:f>Analysis!$C$7:$C$8</c:f>
              <c:numCache>
                <c:formatCode>_ * #,##0_ ;_ * \-#,##0_ ;_ * "-"??_ ;_ @_ </c:formatCode>
                <c:ptCount val="2"/>
                <c:pt idx="0">
                  <c:v>18896500</c:v>
                </c:pt>
                <c:pt idx="1">
                  <c:v>23770768</c:v>
                </c:pt>
              </c:numCache>
            </c:numRef>
          </c:val>
          <c:extLst>
            <c:ext xmlns:c16="http://schemas.microsoft.com/office/drawing/2014/chart" uri="{C3380CC4-5D6E-409C-BE32-E72D297353CC}">
              <c16:uniqueId val="{00000000-B1B3-480C-A28E-724345D8BA3C}"/>
            </c:ext>
          </c:extLst>
        </c:ser>
        <c:dLbls>
          <c:dLblPos val="outEnd"/>
          <c:showLegendKey val="0"/>
          <c:showVal val="1"/>
          <c:showCatName val="0"/>
          <c:showSerName val="0"/>
          <c:showPercent val="0"/>
          <c:showBubbleSize val="0"/>
        </c:dLbls>
        <c:gapWidth val="200"/>
        <c:overlap val="31"/>
        <c:axId val="713085152"/>
        <c:axId val="713086112"/>
      </c:barChart>
      <c:catAx>
        <c:axId val="713085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086112"/>
        <c:crosses val="autoZero"/>
        <c:auto val="1"/>
        <c:lblAlgn val="ctr"/>
        <c:lblOffset val="100"/>
        <c:noMultiLvlLbl val="0"/>
      </c:catAx>
      <c:valAx>
        <c:axId val="713086112"/>
        <c:scaling>
          <c:orientation val="minMax"/>
          <c:min val="0"/>
        </c:scaling>
        <c:delete val="0"/>
        <c:axPos val="l"/>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085152"/>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7E700689-7D88-429D-93A3-8D3D0ECAF73E}">
          <cx:spPr>
            <a:ln>
              <a:noFill/>
            </a:ln>
          </cx:spPr>
          <cx:dataLabels pos="inEnd">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18" Type="http://schemas.openxmlformats.org/officeDocument/2006/relationships/chart" Target="../charts/chart1.xml"/><Relationship Id="rId3" Type="http://schemas.openxmlformats.org/officeDocument/2006/relationships/image" Target="../media/image2.svg"/><Relationship Id="rId21" Type="http://schemas.microsoft.com/office/2014/relationships/chartEx" Target="../charts/chartEx1.xml"/><Relationship Id="rId7" Type="http://schemas.openxmlformats.org/officeDocument/2006/relationships/hyperlink" Target="#Sheet1!A1"/><Relationship Id="rId12" Type="http://schemas.openxmlformats.org/officeDocument/2006/relationships/image" Target="../media/image9.png"/><Relationship Id="rId17" Type="http://schemas.openxmlformats.org/officeDocument/2006/relationships/image" Target="../media/image14.svg"/><Relationship Id="rId2" Type="http://schemas.openxmlformats.org/officeDocument/2006/relationships/image" Target="../media/image1.png"/><Relationship Id="rId16" Type="http://schemas.openxmlformats.org/officeDocument/2006/relationships/image" Target="../media/image13.png"/><Relationship Id="rId20" Type="http://schemas.openxmlformats.org/officeDocument/2006/relationships/chart" Target="../charts/chart3.xml"/><Relationship Id="rId1" Type="http://schemas.openxmlformats.org/officeDocument/2006/relationships/hyperlink" Target="#Sheet3!A1"/><Relationship Id="rId6" Type="http://schemas.openxmlformats.org/officeDocument/2006/relationships/image" Target="../media/image4.svg"/><Relationship Id="rId11" Type="http://schemas.openxmlformats.org/officeDocument/2006/relationships/image" Target="../media/image8.svg"/><Relationship Id="rId5" Type="http://schemas.openxmlformats.org/officeDocument/2006/relationships/image" Target="../media/image3.png"/><Relationship Id="rId15" Type="http://schemas.openxmlformats.org/officeDocument/2006/relationships/image" Target="../media/image12.svg"/><Relationship Id="rId23" Type="http://schemas.openxmlformats.org/officeDocument/2006/relationships/chart" Target="../charts/chart4.xml"/><Relationship Id="rId10" Type="http://schemas.openxmlformats.org/officeDocument/2006/relationships/image" Target="../media/image7.png"/><Relationship Id="rId19" Type="http://schemas.openxmlformats.org/officeDocument/2006/relationships/chart" Target="../charts/chart2.xml"/><Relationship Id="rId4" Type="http://schemas.openxmlformats.org/officeDocument/2006/relationships/hyperlink" Target="#'Alankrit Sales Data'!A1"/><Relationship Id="rId9" Type="http://schemas.openxmlformats.org/officeDocument/2006/relationships/image" Target="../media/image6.svg"/><Relationship Id="rId14" Type="http://schemas.openxmlformats.org/officeDocument/2006/relationships/image" Target="../media/image11.png"/><Relationship Id="rId22"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8</xdr:col>
      <xdr:colOff>403860</xdr:colOff>
      <xdr:row>1</xdr:row>
      <xdr:rowOff>30480</xdr:rowOff>
    </xdr:from>
    <xdr:to>
      <xdr:col>22</xdr:col>
      <xdr:colOff>444180</xdr:colOff>
      <xdr:row>6</xdr:row>
      <xdr:rowOff>99060</xdr:rowOff>
    </xdr:to>
    <xdr:grpSp>
      <xdr:nvGrpSpPr>
        <xdr:cNvPr id="10" name="Nav bg">
          <a:extLst>
            <a:ext uri="{FF2B5EF4-FFF2-40B4-BE49-F238E27FC236}">
              <a16:creationId xmlns:a16="http://schemas.microsoft.com/office/drawing/2014/main" id="{B03C6DE2-453D-E122-C05E-418B3E0AFC03}"/>
            </a:ext>
          </a:extLst>
        </xdr:cNvPr>
        <xdr:cNvGrpSpPr/>
      </xdr:nvGrpSpPr>
      <xdr:grpSpPr>
        <a:xfrm>
          <a:off x="5966460" y="213360"/>
          <a:ext cx="8574720" cy="982980"/>
          <a:chOff x="3192780" y="228600"/>
          <a:chExt cx="8574720" cy="982980"/>
        </a:xfrm>
        <a:solidFill>
          <a:schemeClr val="bg1">
            <a:lumMod val="65000"/>
          </a:schemeClr>
        </a:solidFill>
        <a:effectLst>
          <a:outerShdw blurRad="50800" dist="38100" dir="2700000" algn="tl" rotWithShape="0">
            <a:prstClr val="black">
              <a:alpha val="40000"/>
            </a:prstClr>
          </a:outerShdw>
        </a:effectLst>
      </xdr:grpSpPr>
      <xdr:sp macro="" textlink="">
        <xdr:nvSpPr>
          <xdr:cNvPr id="5" name="Rectangle: Rounded Corners 4">
            <a:extLst>
              <a:ext uri="{FF2B5EF4-FFF2-40B4-BE49-F238E27FC236}">
                <a16:creationId xmlns:a16="http://schemas.microsoft.com/office/drawing/2014/main" id="{9749479E-83A9-B375-A8BB-14338811E41C}"/>
              </a:ext>
            </a:extLst>
          </xdr:cNvPr>
          <xdr:cNvSpPr/>
        </xdr:nvSpPr>
        <xdr:spPr>
          <a:xfrm>
            <a:off x="3192780" y="22860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6" name="Rectangle: Rounded Corners 5">
            <a:extLst>
              <a:ext uri="{FF2B5EF4-FFF2-40B4-BE49-F238E27FC236}">
                <a16:creationId xmlns:a16="http://schemas.microsoft.com/office/drawing/2014/main" id="{3AA4606F-1715-436B-8509-A6BB3BB62281}"/>
              </a:ext>
            </a:extLst>
          </xdr:cNvPr>
          <xdr:cNvSpPr/>
        </xdr:nvSpPr>
        <xdr:spPr>
          <a:xfrm>
            <a:off x="5364480" y="24384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7" name="Rectangle: Rounded Corners 6">
            <a:extLst>
              <a:ext uri="{FF2B5EF4-FFF2-40B4-BE49-F238E27FC236}">
                <a16:creationId xmlns:a16="http://schemas.microsoft.com/office/drawing/2014/main" id="{719FB08F-9FA7-47CC-ADBC-C8BE2EB44212}"/>
              </a:ext>
            </a:extLst>
          </xdr:cNvPr>
          <xdr:cNvSpPr/>
        </xdr:nvSpPr>
        <xdr:spPr>
          <a:xfrm>
            <a:off x="7528560" y="23622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 name="Rectangle: Rounded Corners 7">
            <a:extLst>
              <a:ext uri="{FF2B5EF4-FFF2-40B4-BE49-F238E27FC236}">
                <a16:creationId xmlns:a16="http://schemas.microsoft.com/office/drawing/2014/main" id="{0481D3BB-E0AE-452E-8154-4EEF1F73A10F}"/>
              </a:ext>
            </a:extLst>
          </xdr:cNvPr>
          <xdr:cNvSpPr/>
        </xdr:nvSpPr>
        <xdr:spPr>
          <a:xfrm>
            <a:off x="9715500" y="243840"/>
            <a:ext cx="2052000" cy="967740"/>
          </a:xfrm>
          <a:prstGeom prst="round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12</xdr:col>
      <xdr:colOff>411480</xdr:colOff>
      <xdr:row>7</xdr:row>
      <xdr:rowOff>45720</xdr:rowOff>
    </xdr:from>
    <xdr:to>
      <xdr:col>19</xdr:col>
      <xdr:colOff>563880</xdr:colOff>
      <xdr:row>17</xdr:row>
      <xdr:rowOff>76200</xdr:rowOff>
    </xdr:to>
    <xdr:sp macro="" textlink="">
      <xdr:nvSpPr>
        <xdr:cNvPr id="12" name="Rectangle: Rounded Corners 11">
          <a:extLst>
            <a:ext uri="{FF2B5EF4-FFF2-40B4-BE49-F238E27FC236}">
              <a16:creationId xmlns:a16="http://schemas.microsoft.com/office/drawing/2014/main" id="{F81947F1-4C28-4023-8F19-0507B33EB02C}"/>
            </a:ext>
          </a:extLst>
        </xdr:cNvPr>
        <xdr:cNvSpPr/>
      </xdr:nvSpPr>
      <xdr:spPr>
        <a:xfrm>
          <a:off x="7726680" y="1325880"/>
          <a:ext cx="4419600" cy="1859280"/>
        </a:xfrm>
        <a:prstGeom prst="roundRect">
          <a:avLst>
            <a:gd name="adj" fmla="val 7321"/>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xdr:col>
      <xdr:colOff>7620</xdr:colOff>
      <xdr:row>1</xdr:row>
      <xdr:rowOff>7620</xdr:rowOff>
    </xdr:from>
    <xdr:to>
      <xdr:col>2</xdr:col>
      <xdr:colOff>358140</xdr:colOff>
      <xdr:row>28</xdr:row>
      <xdr:rowOff>167640</xdr:rowOff>
    </xdr:to>
    <xdr:grpSp>
      <xdr:nvGrpSpPr>
        <xdr:cNvPr id="80" name="Nav bar">
          <a:extLst>
            <a:ext uri="{FF2B5EF4-FFF2-40B4-BE49-F238E27FC236}">
              <a16:creationId xmlns:a16="http://schemas.microsoft.com/office/drawing/2014/main" id="{ACF07C45-6C53-86DE-6EEC-05A233ACC24E}"/>
            </a:ext>
          </a:extLst>
        </xdr:cNvPr>
        <xdr:cNvGrpSpPr/>
      </xdr:nvGrpSpPr>
      <xdr:grpSpPr>
        <a:xfrm>
          <a:off x="617220" y="190500"/>
          <a:ext cx="960120" cy="5113020"/>
          <a:chOff x="617220" y="190500"/>
          <a:chExt cx="960120" cy="5097780"/>
        </a:xfrm>
      </xdr:grpSpPr>
      <xdr:sp macro="" textlink="">
        <xdr:nvSpPr>
          <xdr:cNvPr id="3" name="Rectangle 2">
            <a:extLst>
              <a:ext uri="{FF2B5EF4-FFF2-40B4-BE49-F238E27FC236}">
                <a16:creationId xmlns:a16="http://schemas.microsoft.com/office/drawing/2014/main" id="{7445ECB2-CF19-414D-CC7C-5E6063545240}"/>
              </a:ext>
            </a:extLst>
          </xdr:cNvPr>
          <xdr:cNvSpPr/>
        </xdr:nvSpPr>
        <xdr:spPr>
          <a:xfrm>
            <a:off x="617220" y="190500"/>
            <a:ext cx="960120" cy="509778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pic>
        <xdr:nvPicPr>
          <xdr:cNvPr id="18" name="Graphic 17" descr="Bar chart with solid fill">
            <a:hlinkClick xmlns:r="http://schemas.openxmlformats.org/officeDocument/2006/relationships" r:id="rId1"/>
            <a:extLst>
              <a:ext uri="{FF2B5EF4-FFF2-40B4-BE49-F238E27FC236}">
                <a16:creationId xmlns:a16="http://schemas.microsoft.com/office/drawing/2014/main" id="{4BD0A0E6-59C1-7250-1338-9C5FBE4408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45109" y="1255649"/>
            <a:ext cx="755703" cy="755703"/>
          </a:xfrm>
          <a:prstGeom prst="rect">
            <a:avLst/>
          </a:prstGeom>
        </xdr:spPr>
      </xdr:pic>
      <xdr:pic>
        <xdr:nvPicPr>
          <xdr:cNvPr id="20" name="Graphic 19" descr="Database with solid fill">
            <a:hlinkClick xmlns:r="http://schemas.openxmlformats.org/officeDocument/2006/relationships" r:id="rId4"/>
            <a:extLst>
              <a:ext uri="{FF2B5EF4-FFF2-40B4-BE49-F238E27FC236}">
                <a16:creationId xmlns:a16="http://schemas.microsoft.com/office/drawing/2014/main" id="{F9B1ADC4-2245-F47C-02A2-6A60F534855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78600" y="2728380"/>
            <a:ext cx="776820" cy="776820"/>
          </a:xfrm>
          <a:prstGeom prst="rect">
            <a:avLst/>
          </a:prstGeom>
        </xdr:spPr>
      </xdr:pic>
      <xdr:pic>
        <xdr:nvPicPr>
          <xdr:cNvPr id="22" name="Graphic 21" descr="Lightbulb and gear with solid fill">
            <a:hlinkClick xmlns:r="http://schemas.openxmlformats.org/officeDocument/2006/relationships" r:id="rId7"/>
            <a:extLst>
              <a:ext uri="{FF2B5EF4-FFF2-40B4-BE49-F238E27FC236}">
                <a16:creationId xmlns:a16="http://schemas.microsoft.com/office/drawing/2014/main" id="{8155EDD9-EDF5-762D-11B0-871CA63D159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6969" y="4108349"/>
            <a:ext cx="755703" cy="755703"/>
          </a:xfrm>
          <a:prstGeom prst="rect">
            <a:avLst/>
          </a:prstGeom>
        </xdr:spPr>
      </xdr:pic>
    </xdr:grpSp>
    <xdr:clientData/>
  </xdr:twoCellAnchor>
  <xdr:twoCellAnchor>
    <xdr:from>
      <xdr:col>20</xdr:col>
      <xdr:colOff>220980</xdr:colOff>
      <xdr:row>7</xdr:row>
      <xdr:rowOff>7620</xdr:rowOff>
    </xdr:from>
    <xdr:to>
      <xdr:col>22</xdr:col>
      <xdr:colOff>525780</xdr:colOff>
      <xdr:row>22</xdr:row>
      <xdr:rowOff>0</xdr:rowOff>
    </xdr:to>
    <xdr:grpSp>
      <xdr:nvGrpSpPr>
        <xdr:cNvPr id="79" name="Top">
          <a:extLst>
            <a:ext uri="{FF2B5EF4-FFF2-40B4-BE49-F238E27FC236}">
              <a16:creationId xmlns:a16="http://schemas.microsoft.com/office/drawing/2014/main" id="{C1519D21-4188-2068-CF81-181C8E17847A}"/>
            </a:ext>
          </a:extLst>
        </xdr:cNvPr>
        <xdr:cNvGrpSpPr/>
      </xdr:nvGrpSpPr>
      <xdr:grpSpPr>
        <a:xfrm>
          <a:off x="13098780" y="1287780"/>
          <a:ext cx="1524000" cy="2750820"/>
          <a:chOff x="12412980" y="1287780"/>
          <a:chExt cx="1524000" cy="2735580"/>
        </a:xfrm>
      </xdr:grpSpPr>
      <xdr:sp macro="" textlink="">
        <xdr:nvSpPr>
          <xdr:cNvPr id="29" name="Oval 28">
            <a:extLst>
              <a:ext uri="{FF2B5EF4-FFF2-40B4-BE49-F238E27FC236}">
                <a16:creationId xmlns:a16="http://schemas.microsoft.com/office/drawing/2014/main" id="{49B26AC9-9963-D200-573A-6AE869240CB7}"/>
              </a:ext>
            </a:extLst>
          </xdr:cNvPr>
          <xdr:cNvSpPr/>
        </xdr:nvSpPr>
        <xdr:spPr>
          <a:xfrm>
            <a:off x="12412980" y="1287780"/>
            <a:ext cx="1508760" cy="118110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31" name="Oval 30">
            <a:extLst>
              <a:ext uri="{FF2B5EF4-FFF2-40B4-BE49-F238E27FC236}">
                <a16:creationId xmlns:a16="http://schemas.microsoft.com/office/drawing/2014/main" id="{6C51BF9B-4122-434C-A805-CC9468F42D1F}"/>
              </a:ext>
            </a:extLst>
          </xdr:cNvPr>
          <xdr:cNvSpPr/>
        </xdr:nvSpPr>
        <xdr:spPr>
          <a:xfrm>
            <a:off x="12412980" y="2827020"/>
            <a:ext cx="1524000" cy="1196340"/>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pSp>
    <xdr:clientData/>
  </xdr:twoCellAnchor>
  <xdr:twoCellAnchor>
    <xdr:from>
      <xdr:col>8</xdr:col>
      <xdr:colOff>496904</xdr:colOff>
      <xdr:row>1</xdr:row>
      <xdr:rowOff>99060</xdr:rowOff>
    </xdr:from>
    <xdr:to>
      <xdr:col>22</xdr:col>
      <xdr:colOff>198120</xdr:colOff>
      <xdr:row>5</xdr:row>
      <xdr:rowOff>83820</xdr:rowOff>
    </xdr:to>
    <xdr:grpSp>
      <xdr:nvGrpSpPr>
        <xdr:cNvPr id="56" name="KPI">
          <a:extLst>
            <a:ext uri="{FF2B5EF4-FFF2-40B4-BE49-F238E27FC236}">
              <a16:creationId xmlns:a16="http://schemas.microsoft.com/office/drawing/2014/main" id="{10A5CD7A-34B8-B0D7-9641-60A2A86E204A}"/>
            </a:ext>
          </a:extLst>
        </xdr:cNvPr>
        <xdr:cNvGrpSpPr/>
      </xdr:nvGrpSpPr>
      <xdr:grpSpPr>
        <a:xfrm>
          <a:off x="6059504" y="281940"/>
          <a:ext cx="8235616" cy="716280"/>
          <a:chOff x="3247724" y="342900"/>
          <a:chExt cx="8235616" cy="716280"/>
        </a:xfrm>
      </xdr:grpSpPr>
      <xdr:pic>
        <xdr:nvPicPr>
          <xdr:cNvPr id="14" name="Graphic 13" descr="Money with solid fill">
            <a:extLst>
              <a:ext uri="{FF2B5EF4-FFF2-40B4-BE49-F238E27FC236}">
                <a16:creationId xmlns:a16="http://schemas.microsoft.com/office/drawing/2014/main" id="{13F74715-AD2A-C217-974E-6B1772F5168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247724" y="500714"/>
            <a:ext cx="469232" cy="469232"/>
          </a:xfrm>
          <a:prstGeom prst="rect">
            <a:avLst/>
          </a:prstGeom>
        </xdr:spPr>
      </xdr:pic>
      <xdr:pic>
        <xdr:nvPicPr>
          <xdr:cNvPr id="16" name="Graphic 15" descr="Bar graph with upward trend with solid fill">
            <a:extLst>
              <a:ext uri="{FF2B5EF4-FFF2-40B4-BE49-F238E27FC236}">
                <a16:creationId xmlns:a16="http://schemas.microsoft.com/office/drawing/2014/main" id="{90C2C422-01BB-5379-FA3B-8C5AC740941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409404" y="500714"/>
            <a:ext cx="469232" cy="469232"/>
          </a:xfrm>
          <a:prstGeom prst="rect">
            <a:avLst/>
          </a:prstGeom>
        </xdr:spPr>
      </xdr:pic>
      <xdr:pic>
        <xdr:nvPicPr>
          <xdr:cNvPr id="24" name="Graphic 23" descr="Books on shelf with solid fill">
            <a:extLst>
              <a:ext uri="{FF2B5EF4-FFF2-40B4-BE49-F238E27FC236}">
                <a16:creationId xmlns:a16="http://schemas.microsoft.com/office/drawing/2014/main" id="{065CAAEA-0905-FF74-38D9-C007D2289B8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685020" y="468630"/>
            <a:ext cx="533400" cy="533400"/>
          </a:xfrm>
          <a:prstGeom prst="rect">
            <a:avLst/>
          </a:prstGeom>
        </xdr:spPr>
      </xdr:pic>
      <xdr:pic>
        <xdr:nvPicPr>
          <xdr:cNvPr id="28" name="Graphic 27" descr="Upward trend with solid fill">
            <a:extLst>
              <a:ext uri="{FF2B5EF4-FFF2-40B4-BE49-F238E27FC236}">
                <a16:creationId xmlns:a16="http://schemas.microsoft.com/office/drawing/2014/main" id="{3182ABFA-8531-1DBD-4EAC-9DEE830FE74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7508520" y="447180"/>
            <a:ext cx="576300" cy="576300"/>
          </a:xfrm>
          <a:prstGeom prst="rect">
            <a:avLst/>
          </a:prstGeom>
        </xdr:spPr>
      </xdr:pic>
      <xdr:sp macro="" textlink="">
        <xdr:nvSpPr>
          <xdr:cNvPr id="32" name="TextBox 31">
            <a:extLst>
              <a:ext uri="{FF2B5EF4-FFF2-40B4-BE49-F238E27FC236}">
                <a16:creationId xmlns:a16="http://schemas.microsoft.com/office/drawing/2014/main" id="{A21BA81A-9E54-6E95-D67E-BE42295A7B1C}"/>
              </a:ext>
            </a:extLst>
          </xdr:cNvPr>
          <xdr:cNvSpPr txBox="1"/>
        </xdr:nvSpPr>
        <xdr:spPr>
          <a:xfrm>
            <a:off x="3931920" y="35052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Revenue</a:t>
            </a:r>
          </a:p>
        </xdr:txBody>
      </xdr:sp>
      <xdr:sp macro="" textlink="">
        <xdr:nvSpPr>
          <xdr:cNvPr id="43" name="TextBox 42">
            <a:extLst>
              <a:ext uri="{FF2B5EF4-FFF2-40B4-BE49-F238E27FC236}">
                <a16:creationId xmlns:a16="http://schemas.microsoft.com/office/drawing/2014/main" id="{E5F72F6F-3441-4D5C-8B56-5198E28C0102}"/>
              </a:ext>
            </a:extLst>
          </xdr:cNvPr>
          <xdr:cNvSpPr txBox="1"/>
        </xdr:nvSpPr>
        <xdr:spPr>
          <a:xfrm>
            <a:off x="8305800" y="34290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Profit</a:t>
            </a:r>
            <a:r>
              <a:rPr lang="en-IN" sz="1600" b="1" kern="1200" baseline="0"/>
              <a:t> %</a:t>
            </a:r>
            <a:endParaRPr lang="en-IN" sz="1600" b="1" kern="1200"/>
          </a:p>
        </xdr:txBody>
      </xdr:sp>
      <xdr:sp macro="" textlink="">
        <xdr:nvSpPr>
          <xdr:cNvPr id="45" name="TextBox 44">
            <a:extLst>
              <a:ext uri="{FF2B5EF4-FFF2-40B4-BE49-F238E27FC236}">
                <a16:creationId xmlns:a16="http://schemas.microsoft.com/office/drawing/2014/main" id="{9D165C4E-D12F-4D05-ACE9-6F92E09189E3}"/>
              </a:ext>
            </a:extLst>
          </xdr:cNvPr>
          <xdr:cNvSpPr txBox="1"/>
        </xdr:nvSpPr>
        <xdr:spPr>
          <a:xfrm>
            <a:off x="10408920" y="34290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Unit</a:t>
            </a:r>
            <a:r>
              <a:rPr lang="en-IN" sz="1600" b="1" kern="1200" baseline="0"/>
              <a:t> Sold</a:t>
            </a:r>
            <a:endParaRPr lang="en-IN" sz="1600" b="1" kern="1200"/>
          </a:p>
        </xdr:txBody>
      </xdr:sp>
      <xdr:sp macro="" textlink="">
        <xdr:nvSpPr>
          <xdr:cNvPr id="46" name="TextBox 45">
            <a:extLst>
              <a:ext uri="{FF2B5EF4-FFF2-40B4-BE49-F238E27FC236}">
                <a16:creationId xmlns:a16="http://schemas.microsoft.com/office/drawing/2014/main" id="{F98DB671-2BE5-4DEA-A2F5-C2E5DB58181F}"/>
              </a:ext>
            </a:extLst>
          </xdr:cNvPr>
          <xdr:cNvSpPr txBox="1"/>
        </xdr:nvSpPr>
        <xdr:spPr>
          <a:xfrm>
            <a:off x="6149340" y="365760"/>
            <a:ext cx="10744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kern="1200"/>
              <a:t>Profit</a:t>
            </a:r>
          </a:p>
        </xdr:txBody>
      </xdr:sp>
      <xdr:sp macro="" textlink="Analysis!B3">
        <xdr:nvSpPr>
          <xdr:cNvPr id="47" name="TextBox 46">
            <a:extLst>
              <a:ext uri="{FF2B5EF4-FFF2-40B4-BE49-F238E27FC236}">
                <a16:creationId xmlns:a16="http://schemas.microsoft.com/office/drawing/2014/main" id="{0FCBD406-E34C-FC6E-8833-387499B5043A}"/>
              </a:ext>
            </a:extLst>
          </xdr:cNvPr>
          <xdr:cNvSpPr txBox="1"/>
        </xdr:nvSpPr>
        <xdr:spPr>
          <a:xfrm>
            <a:off x="3886200" y="693420"/>
            <a:ext cx="118872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D1F1AF-B084-4871-AE5D-4AD8EFC52F41}" type="TxLink">
              <a:rPr lang="en-US" sz="1400" b="1" i="0" u="none" strike="noStrike" kern="1200">
                <a:solidFill>
                  <a:schemeClr val="bg1"/>
                </a:solidFill>
                <a:latin typeface="Calibri"/>
                <a:ea typeface="Calibri"/>
                <a:cs typeface="Calibri"/>
              </a:rPr>
              <a:t> 19,62,17,416 </a:t>
            </a:fld>
            <a:endParaRPr lang="en-IN" sz="2000" b="1" kern="1200">
              <a:solidFill>
                <a:schemeClr val="bg1"/>
              </a:solidFill>
            </a:endParaRPr>
          </a:p>
        </xdr:txBody>
      </xdr:sp>
      <xdr:sp macro="" textlink="Analysis!C3">
        <xdr:nvSpPr>
          <xdr:cNvPr id="52" name="TextBox 51">
            <a:extLst>
              <a:ext uri="{FF2B5EF4-FFF2-40B4-BE49-F238E27FC236}">
                <a16:creationId xmlns:a16="http://schemas.microsoft.com/office/drawing/2014/main" id="{90659807-B035-4CBA-A9AD-BAD24E305975}"/>
              </a:ext>
            </a:extLst>
          </xdr:cNvPr>
          <xdr:cNvSpPr txBox="1"/>
        </xdr:nvSpPr>
        <xdr:spPr>
          <a:xfrm>
            <a:off x="5981700" y="69342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90916D2-4EC2-4630-9473-A3D5A8344AD1}" type="TxLink">
              <a:rPr lang="en-US" sz="1400" b="1" i="0" u="none" strike="noStrike" kern="1200">
                <a:solidFill>
                  <a:schemeClr val="bg1"/>
                </a:solidFill>
                <a:latin typeface="Calibri"/>
                <a:ea typeface="Calibri"/>
                <a:cs typeface="Calibri"/>
              </a:rPr>
              <a:t> 7,79,10,980 </a:t>
            </a:fld>
            <a:endParaRPr lang="en-IN" sz="2400" b="1" kern="1200">
              <a:solidFill>
                <a:schemeClr val="bg1"/>
              </a:solidFill>
            </a:endParaRPr>
          </a:p>
        </xdr:txBody>
      </xdr:sp>
      <xdr:sp macro="" textlink="Analysis!D3">
        <xdr:nvSpPr>
          <xdr:cNvPr id="53" name="TextBox 52">
            <a:extLst>
              <a:ext uri="{FF2B5EF4-FFF2-40B4-BE49-F238E27FC236}">
                <a16:creationId xmlns:a16="http://schemas.microsoft.com/office/drawing/2014/main" id="{B92985B7-1599-45B6-AC5B-51EF87F72756}"/>
              </a:ext>
            </a:extLst>
          </xdr:cNvPr>
          <xdr:cNvSpPr txBox="1"/>
        </xdr:nvSpPr>
        <xdr:spPr>
          <a:xfrm>
            <a:off x="8221980" y="64008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2850D0-A467-4865-9111-3B61ADF7B4FE}" type="TxLink">
              <a:rPr lang="en-US" sz="1400" b="1" i="0" u="none" strike="noStrike" kern="1200">
                <a:solidFill>
                  <a:schemeClr val="bg1"/>
                </a:solidFill>
                <a:latin typeface="Calibri"/>
                <a:ea typeface="Calibri"/>
                <a:cs typeface="Calibri"/>
              </a:rPr>
              <a:t>66%</a:t>
            </a:fld>
            <a:endParaRPr lang="en-IN" sz="2400" b="1" kern="1200">
              <a:solidFill>
                <a:schemeClr val="bg1"/>
              </a:solidFill>
            </a:endParaRPr>
          </a:p>
        </xdr:txBody>
      </xdr:sp>
      <xdr:sp macro="" textlink="Analysis!E3">
        <xdr:nvSpPr>
          <xdr:cNvPr id="54" name="TextBox 53">
            <a:extLst>
              <a:ext uri="{FF2B5EF4-FFF2-40B4-BE49-F238E27FC236}">
                <a16:creationId xmlns:a16="http://schemas.microsoft.com/office/drawing/2014/main" id="{138ECC36-58C6-4954-BAAD-C2B9C8235F1A}"/>
              </a:ext>
            </a:extLst>
          </xdr:cNvPr>
          <xdr:cNvSpPr txBox="1"/>
        </xdr:nvSpPr>
        <xdr:spPr>
          <a:xfrm>
            <a:off x="10325100" y="701040"/>
            <a:ext cx="112014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F29485-41D9-4AD7-A6FE-30E118E9F685}" type="TxLink">
              <a:rPr lang="en-US" sz="1400" b="1" i="0" u="none" strike="noStrike" kern="1200">
                <a:solidFill>
                  <a:schemeClr val="bg1"/>
                </a:solidFill>
                <a:latin typeface="Calibri"/>
                <a:ea typeface="Calibri"/>
                <a:cs typeface="Calibri"/>
              </a:rPr>
              <a:t> 5,619 </a:t>
            </a:fld>
            <a:endParaRPr lang="en-IN" sz="2400" b="1" kern="1200">
              <a:solidFill>
                <a:schemeClr val="bg1"/>
              </a:solidFill>
            </a:endParaRPr>
          </a:p>
        </xdr:txBody>
      </xdr:sp>
    </xdr:grpSp>
    <xdr:clientData/>
  </xdr:twoCellAnchor>
  <xdr:twoCellAnchor>
    <xdr:from>
      <xdr:col>5</xdr:col>
      <xdr:colOff>152400</xdr:colOff>
      <xdr:row>7</xdr:row>
      <xdr:rowOff>60960</xdr:rowOff>
    </xdr:from>
    <xdr:to>
      <xdr:col>12</xdr:col>
      <xdr:colOff>327660</xdr:colOff>
      <xdr:row>17</xdr:row>
      <xdr:rowOff>83820</xdr:rowOff>
    </xdr:to>
    <xdr:grpSp>
      <xdr:nvGrpSpPr>
        <xdr:cNvPr id="78" name="Line Chart">
          <a:extLst>
            <a:ext uri="{FF2B5EF4-FFF2-40B4-BE49-F238E27FC236}">
              <a16:creationId xmlns:a16="http://schemas.microsoft.com/office/drawing/2014/main" id="{9195F457-7A28-70CE-513B-A3440EFCC4BF}"/>
            </a:ext>
          </a:extLst>
        </xdr:cNvPr>
        <xdr:cNvGrpSpPr/>
      </xdr:nvGrpSpPr>
      <xdr:grpSpPr>
        <a:xfrm>
          <a:off x="3200400" y="1341120"/>
          <a:ext cx="5128260" cy="1851660"/>
          <a:chOff x="3200400" y="1341120"/>
          <a:chExt cx="4442460" cy="1851660"/>
        </a:xfrm>
      </xdr:grpSpPr>
      <xdr:sp macro="" textlink="">
        <xdr:nvSpPr>
          <xdr:cNvPr id="11" name="Rectangle: Rounded Corners 10">
            <a:extLst>
              <a:ext uri="{FF2B5EF4-FFF2-40B4-BE49-F238E27FC236}">
                <a16:creationId xmlns:a16="http://schemas.microsoft.com/office/drawing/2014/main" id="{5C36F6F0-EC21-466E-A0E9-1FF35E5AD7E1}"/>
              </a:ext>
            </a:extLst>
          </xdr:cNvPr>
          <xdr:cNvSpPr/>
        </xdr:nvSpPr>
        <xdr:spPr>
          <a:xfrm>
            <a:off x="3200400" y="1341120"/>
            <a:ext cx="4442460" cy="1851660"/>
          </a:xfrm>
          <a:prstGeom prst="roundRect">
            <a:avLst>
              <a:gd name="adj" fmla="val 7321"/>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58" name="Chart 57">
            <a:extLst>
              <a:ext uri="{FF2B5EF4-FFF2-40B4-BE49-F238E27FC236}">
                <a16:creationId xmlns:a16="http://schemas.microsoft.com/office/drawing/2014/main" id="{75F062A5-CDEF-422D-A21B-C37CCF2AD717}"/>
              </a:ext>
            </a:extLst>
          </xdr:cNvPr>
          <xdr:cNvGraphicFramePr>
            <a:graphicFrameLocks/>
          </xdr:cNvGraphicFramePr>
        </xdr:nvGraphicFramePr>
        <xdr:xfrm>
          <a:off x="3230880" y="1371600"/>
          <a:ext cx="4366260" cy="1783080"/>
        </xdr:xfrm>
        <a:graphic>
          <a:graphicData uri="http://schemas.openxmlformats.org/drawingml/2006/chart">
            <c:chart xmlns:c="http://schemas.openxmlformats.org/drawingml/2006/chart" xmlns:r="http://schemas.openxmlformats.org/officeDocument/2006/relationships" r:id="rId18"/>
          </a:graphicData>
        </a:graphic>
      </xdr:graphicFrame>
    </xdr:grpSp>
    <xdr:clientData/>
  </xdr:twoCellAnchor>
  <xdr:twoCellAnchor>
    <xdr:from>
      <xdr:col>12</xdr:col>
      <xdr:colOff>434340</xdr:colOff>
      <xdr:row>7</xdr:row>
      <xdr:rowOff>45720</xdr:rowOff>
    </xdr:from>
    <xdr:to>
      <xdr:col>20</xdr:col>
      <xdr:colOff>0</xdr:colOff>
      <xdr:row>17</xdr:row>
      <xdr:rowOff>68580</xdr:rowOff>
    </xdr:to>
    <xdr:grpSp>
      <xdr:nvGrpSpPr>
        <xdr:cNvPr id="77" name="Column Chart">
          <a:extLst>
            <a:ext uri="{FF2B5EF4-FFF2-40B4-BE49-F238E27FC236}">
              <a16:creationId xmlns:a16="http://schemas.microsoft.com/office/drawing/2014/main" id="{3F763325-02F4-805D-CD1D-8E6D5F49EDCB}"/>
            </a:ext>
          </a:extLst>
        </xdr:cNvPr>
        <xdr:cNvGrpSpPr/>
      </xdr:nvGrpSpPr>
      <xdr:grpSpPr>
        <a:xfrm>
          <a:off x="8435340" y="1325880"/>
          <a:ext cx="4442460" cy="1851660"/>
          <a:chOff x="7749540" y="1325880"/>
          <a:chExt cx="4442460" cy="1851660"/>
        </a:xfrm>
      </xdr:grpSpPr>
      <xdr:sp macro="" textlink="">
        <xdr:nvSpPr>
          <xdr:cNvPr id="72" name="Rectangle: Rounded Corners 71">
            <a:extLst>
              <a:ext uri="{FF2B5EF4-FFF2-40B4-BE49-F238E27FC236}">
                <a16:creationId xmlns:a16="http://schemas.microsoft.com/office/drawing/2014/main" id="{38D6578C-8FD0-4667-86B6-A511AF6B4CCD}"/>
              </a:ext>
            </a:extLst>
          </xdr:cNvPr>
          <xdr:cNvSpPr/>
        </xdr:nvSpPr>
        <xdr:spPr>
          <a:xfrm>
            <a:off x="7749540" y="1325880"/>
            <a:ext cx="4442460" cy="1851660"/>
          </a:xfrm>
          <a:prstGeom prst="roundRect">
            <a:avLst>
              <a:gd name="adj" fmla="val 7321"/>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59" name="Chart 58">
            <a:extLst>
              <a:ext uri="{FF2B5EF4-FFF2-40B4-BE49-F238E27FC236}">
                <a16:creationId xmlns:a16="http://schemas.microsoft.com/office/drawing/2014/main" id="{5CD25EF2-2428-4A68-B1F4-123B9D147CB2}"/>
              </a:ext>
            </a:extLst>
          </xdr:cNvPr>
          <xdr:cNvGraphicFramePr>
            <a:graphicFrameLocks/>
          </xdr:cNvGraphicFramePr>
        </xdr:nvGraphicFramePr>
        <xdr:xfrm>
          <a:off x="7962900" y="1394460"/>
          <a:ext cx="4046220" cy="1706880"/>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20</xdr:col>
      <xdr:colOff>289560</xdr:colOff>
      <xdr:row>7</xdr:row>
      <xdr:rowOff>167640</xdr:rowOff>
    </xdr:from>
    <xdr:to>
      <xdr:col>22</xdr:col>
      <xdr:colOff>487680</xdr:colOff>
      <xdr:row>10</xdr:row>
      <xdr:rowOff>0</xdr:rowOff>
    </xdr:to>
    <xdr:sp macro="" textlink="">
      <xdr:nvSpPr>
        <xdr:cNvPr id="60" name="TextBox 59">
          <a:extLst>
            <a:ext uri="{FF2B5EF4-FFF2-40B4-BE49-F238E27FC236}">
              <a16:creationId xmlns:a16="http://schemas.microsoft.com/office/drawing/2014/main" id="{86BB0605-35B7-4A19-6B2C-116A1C6EF8D1}"/>
            </a:ext>
          </a:extLst>
        </xdr:cNvPr>
        <xdr:cNvSpPr txBox="1"/>
      </xdr:nvSpPr>
      <xdr:spPr>
        <a:xfrm>
          <a:off x="12481560" y="1447800"/>
          <a:ext cx="14173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kern="1200"/>
            <a:t>Most</a:t>
          </a:r>
          <a:r>
            <a:rPr lang="en-IN" sz="1200" b="1" kern="1200" baseline="0"/>
            <a:t> Liked Product</a:t>
          </a:r>
          <a:endParaRPr lang="en-IN" sz="1200" b="1" kern="1200"/>
        </a:p>
      </xdr:txBody>
    </xdr:sp>
    <xdr:clientData/>
  </xdr:twoCellAnchor>
  <xdr:twoCellAnchor>
    <xdr:from>
      <xdr:col>20</xdr:col>
      <xdr:colOff>304800</xdr:colOff>
      <xdr:row>9</xdr:row>
      <xdr:rowOff>60960</xdr:rowOff>
    </xdr:from>
    <xdr:to>
      <xdr:col>22</xdr:col>
      <xdr:colOff>411480</xdr:colOff>
      <xdr:row>13</xdr:row>
      <xdr:rowOff>76200</xdr:rowOff>
    </xdr:to>
    <xdr:sp macro="" textlink="Analysis!V3">
      <xdr:nvSpPr>
        <xdr:cNvPr id="62" name="TextBox 61">
          <a:extLst>
            <a:ext uri="{FF2B5EF4-FFF2-40B4-BE49-F238E27FC236}">
              <a16:creationId xmlns:a16="http://schemas.microsoft.com/office/drawing/2014/main" id="{85FD7B4A-CA79-441E-B7B7-C323C3B35583}"/>
            </a:ext>
          </a:extLst>
        </xdr:cNvPr>
        <xdr:cNvSpPr txBox="1"/>
      </xdr:nvSpPr>
      <xdr:spPr>
        <a:xfrm>
          <a:off x="12496800" y="1706880"/>
          <a:ext cx="1325880" cy="74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CF0302F-C46D-4744-AE81-A050CCB03257}" type="TxLink">
            <a:rPr lang="en-US" sz="1200" b="1" i="0" u="none" strike="noStrike" kern="1200">
              <a:solidFill>
                <a:schemeClr val="bg1"/>
              </a:solidFill>
              <a:latin typeface="Calibri"/>
              <a:ea typeface="Calibri"/>
              <a:cs typeface="Calibri"/>
            </a:rPr>
            <a:t>Hand-Embroidered Dupatta</a:t>
          </a:fld>
          <a:endParaRPr lang="en-IN" sz="1600" b="1" kern="1200">
            <a:solidFill>
              <a:schemeClr val="bg1"/>
            </a:solidFill>
          </a:endParaRPr>
        </a:p>
      </xdr:txBody>
    </xdr:sp>
    <xdr:clientData/>
  </xdr:twoCellAnchor>
  <xdr:twoCellAnchor>
    <xdr:from>
      <xdr:col>20</xdr:col>
      <xdr:colOff>312420</xdr:colOff>
      <xdr:row>17</xdr:row>
      <xdr:rowOff>137160</xdr:rowOff>
    </xdr:from>
    <xdr:to>
      <xdr:col>22</xdr:col>
      <xdr:colOff>373380</xdr:colOff>
      <xdr:row>21</xdr:row>
      <xdr:rowOff>106680</xdr:rowOff>
    </xdr:to>
    <xdr:sp macro="" textlink="Analysis!Y3">
      <xdr:nvSpPr>
        <xdr:cNvPr id="63" name="TextBox 62">
          <a:extLst>
            <a:ext uri="{FF2B5EF4-FFF2-40B4-BE49-F238E27FC236}">
              <a16:creationId xmlns:a16="http://schemas.microsoft.com/office/drawing/2014/main" id="{E0242268-8E7B-4781-B2C9-0A07EE06698E}"/>
            </a:ext>
          </a:extLst>
        </xdr:cNvPr>
        <xdr:cNvSpPr txBox="1"/>
      </xdr:nvSpPr>
      <xdr:spPr>
        <a:xfrm>
          <a:off x="12504420" y="3246120"/>
          <a:ext cx="1280160" cy="701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F5B6C7-FF27-4D05-A5F2-A0A81C1E2F66}" type="TxLink">
            <a:rPr lang="en-US" sz="1800" b="1" i="0" u="none" strike="noStrike" kern="1200">
              <a:solidFill>
                <a:schemeClr val="bg1"/>
              </a:solidFill>
              <a:latin typeface="Calibri"/>
              <a:ea typeface="Calibri"/>
              <a:cs typeface="Calibri"/>
            </a:rPr>
            <a:t>ORD082</a:t>
          </a:fld>
          <a:endParaRPr lang="en-IN" sz="2400" b="1" kern="1200">
            <a:solidFill>
              <a:schemeClr val="bg1"/>
            </a:solidFill>
          </a:endParaRPr>
        </a:p>
      </xdr:txBody>
    </xdr:sp>
    <xdr:clientData/>
  </xdr:twoCellAnchor>
  <xdr:twoCellAnchor>
    <xdr:from>
      <xdr:col>20</xdr:col>
      <xdr:colOff>304800</xdr:colOff>
      <xdr:row>15</xdr:row>
      <xdr:rowOff>160020</xdr:rowOff>
    </xdr:from>
    <xdr:to>
      <xdr:col>22</xdr:col>
      <xdr:colOff>472440</xdr:colOff>
      <xdr:row>18</xdr:row>
      <xdr:rowOff>76200</xdr:rowOff>
    </xdr:to>
    <xdr:sp macro="" textlink="">
      <xdr:nvSpPr>
        <xdr:cNvPr id="64" name="TextBox 63">
          <a:extLst>
            <a:ext uri="{FF2B5EF4-FFF2-40B4-BE49-F238E27FC236}">
              <a16:creationId xmlns:a16="http://schemas.microsoft.com/office/drawing/2014/main" id="{3F6704F5-5BAB-426D-96BA-5BBD63AE0D56}"/>
            </a:ext>
          </a:extLst>
        </xdr:cNvPr>
        <xdr:cNvSpPr txBox="1"/>
      </xdr:nvSpPr>
      <xdr:spPr>
        <a:xfrm>
          <a:off x="12496800" y="2903220"/>
          <a:ext cx="13868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kern="1200"/>
            <a:t>Highest</a:t>
          </a:r>
          <a:r>
            <a:rPr lang="en-IN" sz="1400" b="1" kern="1200" baseline="0"/>
            <a:t> Order</a:t>
          </a:r>
          <a:endParaRPr lang="en-IN" sz="1400" b="1" kern="1200"/>
        </a:p>
      </xdr:txBody>
    </xdr:sp>
    <xdr:clientData/>
  </xdr:twoCellAnchor>
  <xdr:twoCellAnchor>
    <xdr:from>
      <xdr:col>12</xdr:col>
      <xdr:colOff>68580</xdr:colOff>
      <xdr:row>17</xdr:row>
      <xdr:rowOff>129540</xdr:rowOff>
    </xdr:from>
    <xdr:to>
      <xdr:col>20</xdr:col>
      <xdr:colOff>68580</xdr:colOff>
      <xdr:row>28</xdr:row>
      <xdr:rowOff>144780</xdr:rowOff>
    </xdr:to>
    <xdr:sp macro="" textlink="">
      <xdr:nvSpPr>
        <xdr:cNvPr id="65" name="Rectangle: Rounded Corners 64">
          <a:extLst>
            <a:ext uri="{FF2B5EF4-FFF2-40B4-BE49-F238E27FC236}">
              <a16:creationId xmlns:a16="http://schemas.microsoft.com/office/drawing/2014/main" id="{A06EDA0A-0F1D-FCC1-D926-6544F7145830}"/>
            </a:ext>
          </a:extLst>
        </xdr:cNvPr>
        <xdr:cNvSpPr/>
      </xdr:nvSpPr>
      <xdr:spPr>
        <a:xfrm>
          <a:off x="7383780" y="3238500"/>
          <a:ext cx="4876800" cy="2026920"/>
        </a:xfrm>
        <a:prstGeom prst="roundRect">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12</xdr:col>
      <xdr:colOff>426720</xdr:colOff>
      <xdr:row>17</xdr:row>
      <xdr:rowOff>137160</xdr:rowOff>
    </xdr:from>
    <xdr:to>
      <xdr:col>19</xdr:col>
      <xdr:colOff>601980</xdr:colOff>
      <xdr:row>28</xdr:row>
      <xdr:rowOff>167640</xdr:rowOff>
    </xdr:to>
    <xdr:grpSp>
      <xdr:nvGrpSpPr>
        <xdr:cNvPr id="76" name="Tree and Pie chart">
          <a:extLst>
            <a:ext uri="{FF2B5EF4-FFF2-40B4-BE49-F238E27FC236}">
              <a16:creationId xmlns:a16="http://schemas.microsoft.com/office/drawing/2014/main" id="{1B28E413-F439-229A-A3BD-5349B8266CEE}"/>
            </a:ext>
          </a:extLst>
        </xdr:cNvPr>
        <xdr:cNvGrpSpPr/>
      </xdr:nvGrpSpPr>
      <xdr:grpSpPr>
        <a:xfrm>
          <a:off x="8427720" y="3246120"/>
          <a:ext cx="4442460" cy="2057400"/>
          <a:chOff x="7757160" y="3230880"/>
          <a:chExt cx="4442460" cy="2042160"/>
        </a:xfrm>
      </xdr:grpSpPr>
      <xdr:sp macro="" textlink="">
        <xdr:nvSpPr>
          <xdr:cNvPr id="75" name="Rectangle: Rounded Corners 74">
            <a:extLst>
              <a:ext uri="{FF2B5EF4-FFF2-40B4-BE49-F238E27FC236}">
                <a16:creationId xmlns:a16="http://schemas.microsoft.com/office/drawing/2014/main" id="{A5F51533-F723-41DD-9C7B-CD52F61C255C}"/>
              </a:ext>
            </a:extLst>
          </xdr:cNvPr>
          <xdr:cNvSpPr/>
        </xdr:nvSpPr>
        <xdr:spPr>
          <a:xfrm>
            <a:off x="7757160" y="3230880"/>
            <a:ext cx="4442460" cy="2042160"/>
          </a:xfrm>
          <a:prstGeom prst="roundRect">
            <a:avLst>
              <a:gd name="adj" fmla="val 7321"/>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graphicFrame macro="">
        <xdr:nvGraphicFramePr>
          <xdr:cNvPr id="66" name="Chart 65">
            <a:extLst>
              <a:ext uri="{FF2B5EF4-FFF2-40B4-BE49-F238E27FC236}">
                <a16:creationId xmlns:a16="http://schemas.microsoft.com/office/drawing/2014/main" id="{C494FE58-1B79-437C-B44A-D734642DA3D9}"/>
              </a:ext>
            </a:extLst>
          </xdr:cNvPr>
          <xdr:cNvGraphicFramePr>
            <a:graphicFrameLocks/>
          </xdr:cNvGraphicFramePr>
        </xdr:nvGraphicFramePr>
        <xdr:xfrm>
          <a:off x="7802880" y="3291840"/>
          <a:ext cx="1866900" cy="1950720"/>
        </xdr:xfrm>
        <a:graphic>
          <a:graphicData uri="http://schemas.openxmlformats.org/drawingml/2006/chart">
            <c:chart xmlns:c="http://schemas.openxmlformats.org/drawingml/2006/chart" xmlns:r="http://schemas.openxmlformats.org/officeDocument/2006/relationships" r:id="rId20"/>
          </a:graphicData>
        </a:graphic>
      </xdr:graphicFrame>
      <mc:AlternateContent xmlns:mc="http://schemas.openxmlformats.org/markup-compatibility/2006">
        <mc:Choice xmlns:cx1="http://schemas.microsoft.com/office/drawing/2015/9/8/chartex" Requires="cx1">
          <xdr:graphicFrame macro="">
            <xdr:nvGraphicFramePr>
              <xdr:cNvPr id="67" name="Chart 66">
                <a:extLst>
                  <a:ext uri="{FF2B5EF4-FFF2-40B4-BE49-F238E27FC236}">
                    <a16:creationId xmlns:a16="http://schemas.microsoft.com/office/drawing/2014/main" id="{5FFA461C-7239-4500-9F59-A47D8F9EC96E}"/>
                  </a:ext>
                </a:extLst>
              </xdr:cNvPr>
              <xdr:cNvGraphicFramePr/>
            </xdr:nvGraphicFramePr>
            <xdr:xfrm>
              <a:off x="9669780" y="3284220"/>
              <a:ext cx="2499360" cy="188976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9669780" y="3284220"/>
                <a:ext cx="2499360" cy="18897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oneCell">
    <xdr:from>
      <xdr:col>3</xdr:col>
      <xdr:colOff>0</xdr:colOff>
      <xdr:row>1</xdr:row>
      <xdr:rowOff>129540</xdr:rowOff>
    </xdr:from>
    <xdr:to>
      <xdr:col>7</xdr:col>
      <xdr:colOff>356188</xdr:colOff>
      <xdr:row>6</xdr:row>
      <xdr:rowOff>83210</xdr:rowOff>
    </xdr:to>
    <xdr:pic>
      <xdr:nvPicPr>
        <xdr:cNvPr id="71" name="Picture 70">
          <a:extLst>
            <a:ext uri="{FF2B5EF4-FFF2-40B4-BE49-F238E27FC236}">
              <a16:creationId xmlns:a16="http://schemas.microsoft.com/office/drawing/2014/main" id="{BEDF281B-489F-19AE-C1DC-B79C9909BBF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828800" y="312420"/>
          <a:ext cx="3137488" cy="868070"/>
        </a:xfrm>
        <a:prstGeom prst="rect">
          <a:avLst/>
        </a:prstGeom>
      </xdr:spPr>
    </xdr:pic>
    <xdr:clientData/>
  </xdr:twoCellAnchor>
  <xdr:twoCellAnchor editAs="oneCell">
    <xdr:from>
      <xdr:col>2</xdr:col>
      <xdr:colOff>396240</xdr:colOff>
      <xdr:row>20</xdr:row>
      <xdr:rowOff>99061</xdr:rowOff>
    </xdr:from>
    <xdr:to>
      <xdr:col>5</xdr:col>
      <xdr:colOff>167640</xdr:colOff>
      <xdr:row>28</xdr:row>
      <xdr:rowOff>30481</xdr:rowOff>
    </xdr:to>
    <mc:AlternateContent xmlns:mc="http://schemas.openxmlformats.org/markup-compatibility/2006">
      <mc:Choice xmlns:a14="http://schemas.microsoft.com/office/drawing/2010/main" Requires="a14">
        <xdr:graphicFrame macro="">
          <xdr:nvGraphicFramePr>
            <xdr:cNvPr id="73" name="Sales Channel 1">
              <a:extLst>
                <a:ext uri="{FF2B5EF4-FFF2-40B4-BE49-F238E27FC236}">
                  <a16:creationId xmlns:a16="http://schemas.microsoft.com/office/drawing/2014/main" id="{F9787B02-6816-4483-A438-C60DAD635FA5}"/>
                </a:ext>
              </a:extLst>
            </xdr:cNvPr>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dr:sp macro="" textlink="">
          <xdr:nvSpPr>
            <xdr:cNvPr id="0" name=""/>
            <xdr:cNvSpPr>
              <a:spLocks noTextEdit="1"/>
            </xdr:cNvSpPr>
          </xdr:nvSpPr>
          <xdr:spPr>
            <a:xfrm>
              <a:off x="1615440" y="3771901"/>
              <a:ext cx="1600200" cy="1394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403860</xdr:colOff>
      <xdr:row>7</xdr:row>
      <xdr:rowOff>38101</xdr:rowOff>
    </xdr:from>
    <xdr:to>
      <xdr:col>5</xdr:col>
      <xdr:colOff>106680</xdr:colOff>
      <xdr:row>19</xdr:row>
      <xdr:rowOff>76201</xdr:rowOff>
    </xdr:to>
    <mc:AlternateContent xmlns:mc="http://schemas.openxmlformats.org/markup-compatibility/2006">
      <mc:Choice xmlns:a14="http://schemas.microsoft.com/office/drawing/2010/main" Requires="a14">
        <xdr:graphicFrame macro="">
          <xdr:nvGraphicFramePr>
            <xdr:cNvPr id="74" name="City">
              <a:extLst>
                <a:ext uri="{FF2B5EF4-FFF2-40B4-BE49-F238E27FC236}">
                  <a16:creationId xmlns:a16="http://schemas.microsoft.com/office/drawing/2014/main" id="{95D6762C-5113-41AF-BC78-900957C59937}"/>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623060" y="1318261"/>
              <a:ext cx="1531620" cy="2247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426720</xdr:colOff>
      <xdr:row>20</xdr:row>
      <xdr:rowOff>152400</xdr:rowOff>
    </xdr:from>
    <xdr:to>
      <xdr:col>8</xdr:col>
      <xdr:colOff>304800</xdr:colOff>
      <xdr:row>27</xdr:row>
      <xdr:rowOff>7620</xdr:rowOff>
    </xdr:to>
    <xdr:grpSp>
      <xdr:nvGrpSpPr>
        <xdr:cNvPr id="85" name="Group 84">
          <a:extLst>
            <a:ext uri="{FF2B5EF4-FFF2-40B4-BE49-F238E27FC236}">
              <a16:creationId xmlns:a16="http://schemas.microsoft.com/office/drawing/2014/main" id="{AA4C2081-0066-58D9-7E7D-DCE8F074A154}"/>
            </a:ext>
          </a:extLst>
        </xdr:cNvPr>
        <xdr:cNvGrpSpPr/>
      </xdr:nvGrpSpPr>
      <xdr:grpSpPr>
        <a:xfrm>
          <a:off x="3474720" y="3825240"/>
          <a:ext cx="2392680" cy="1135380"/>
          <a:chOff x="3314700" y="3611880"/>
          <a:chExt cx="2392680" cy="1135380"/>
        </a:xfrm>
      </xdr:grpSpPr>
      <xdr:sp macro="" textlink="">
        <xdr:nvSpPr>
          <xdr:cNvPr id="82" name="Rectangle: Rounded Corners 81">
            <a:extLst>
              <a:ext uri="{FF2B5EF4-FFF2-40B4-BE49-F238E27FC236}">
                <a16:creationId xmlns:a16="http://schemas.microsoft.com/office/drawing/2014/main" id="{B62297CF-B086-3E1E-26AD-FD284CD67DB8}"/>
              </a:ext>
            </a:extLst>
          </xdr:cNvPr>
          <xdr:cNvSpPr/>
        </xdr:nvSpPr>
        <xdr:spPr>
          <a:xfrm>
            <a:off x="3314700" y="3611880"/>
            <a:ext cx="2392680" cy="1135380"/>
          </a:xfrm>
          <a:prstGeom prst="round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sp macro="" textlink="">
        <xdr:nvSpPr>
          <xdr:cNvPr id="83" name="TextBox 82">
            <a:extLst>
              <a:ext uri="{FF2B5EF4-FFF2-40B4-BE49-F238E27FC236}">
                <a16:creationId xmlns:a16="http://schemas.microsoft.com/office/drawing/2014/main" id="{9A896860-0C7B-B3A4-A78F-0815F32C8417}"/>
              </a:ext>
            </a:extLst>
          </xdr:cNvPr>
          <xdr:cNvSpPr txBox="1"/>
        </xdr:nvSpPr>
        <xdr:spPr>
          <a:xfrm>
            <a:off x="3398520" y="3672840"/>
            <a:ext cx="2202180" cy="487680"/>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kern="1200"/>
              <a:t>Current VS</a:t>
            </a:r>
            <a:r>
              <a:rPr lang="en-IN" sz="1100" b="1" kern="1200" baseline="0"/>
              <a:t> Previous month Revenue growth %</a:t>
            </a:r>
            <a:endParaRPr lang="en-IN" sz="1100" b="1" kern="1200"/>
          </a:p>
        </xdr:txBody>
      </xdr:sp>
      <xdr:sp macro="" textlink="Analysis!C9">
        <xdr:nvSpPr>
          <xdr:cNvPr id="84" name="TextBox 83">
            <a:extLst>
              <a:ext uri="{FF2B5EF4-FFF2-40B4-BE49-F238E27FC236}">
                <a16:creationId xmlns:a16="http://schemas.microsoft.com/office/drawing/2014/main" id="{98A90E92-2059-4532-E0F2-75AE0859D735}"/>
              </a:ext>
            </a:extLst>
          </xdr:cNvPr>
          <xdr:cNvSpPr txBox="1"/>
        </xdr:nvSpPr>
        <xdr:spPr>
          <a:xfrm>
            <a:off x="3474720" y="4152900"/>
            <a:ext cx="2065020" cy="563880"/>
          </a:xfrm>
          <a:prstGeom prst="rect">
            <a:avLst/>
          </a:prstGeom>
          <a:solidFill>
            <a:schemeClr val="bg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38B6C5-2203-4991-86D2-28CFDC4B3133}" type="TxLink">
              <a:rPr lang="en-US" sz="3600" b="1" i="0" u="none" strike="noStrike" kern="1200">
                <a:solidFill>
                  <a:srgbClr val="000000"/>
                </a:solidFill>
                <a:latin typeface="Calibri"/>
                <a:ea typeface="Calibri"/>
                <a:cs typeface="Calibri"/>
              </a:rPr>
              <a:pPr algn="ctr"/>
              <a:t>-21%</a:t>
            </a:fld>
            <a:endParaRPr lang="en-IN" sz="3600" b="1" kern="1200"/>
          </a:p>
        </xdr:txBody>
      </xdr:sp>
    </xdr:grpSp>
    <xdr:clientData/>
  </xdr:twoCellAnchor>
  <xdr:twoCellAnchor>
    <xdr:from>
      <xdr:col>9</xdr:col>
      <xdr:colOff>60960</xdr:colOff>
      <xdr:row>17</xdr:row>
      <xdr:rowOff>152400</xdr:rowOff>
    </xdr:from>
    <xdr:to>
      <xdr:col>12</xdr:col>
      <xdr:colOff>205740</xdr:colOff>
      <xdr:row>28</xdr:row>
      <xdr:rowOff>121920</xdr:rowOff>
    </xdr:to>
    <xdr:graphicFrame macro="">
      <xdr:nvGraphicFramePr>
        <xdr:cNvPr id="86" name="Chart 85">
          <a:extLst>
            <a:ext uri="{FF2B5EF4-FFF2-40B4-BE49-F238E27FC236}">
              <a16:creationId xmlns:a16="http://schemas.microsoft.com/office/drawing/2014/main" id="{80FDEAFB-CE48-4889-B6F3-B4C17463FF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pak kumar Dubey" refreshedDate="45622.64997766204" createdVersion="8" refreshedVersion="8" minRefreshableVersion="3" recordCount="998" xr:uid="{4327112A-35F5-41FC-B7E2-00A4408B0D05}">
  <cacheSource type="worksheet">
    <worksheetSource name="Alankrit_Sales_Data"/>
  </cacheSource>
  <cacheFields count="22">
    <cacheField name="Order ID" numFmtId="0">
      <sharedItems count="998">
        <s v="ORD001"/>
        <s v="ORD002"/>
        <s v="ORD003"/>
        <s v="ORD004"/>
        <s v="ORD005"/>
        <s v="ORD006"/>
        <s v="ORD007"/>
        <s v="ORD008"/>
        <s v="ORD009"/>
        <s v="ORD010"/>
        <s v="ORD011"/>
        <s v="ORD012"/>
        <s v="ORD013"/>
        <s v="ORD014"/>
        <s v="ORD015"/>
        <s v="ORD016"/>
        <s v="ORD017"/>
        <s v="ORD018"/>
        <s v="ORD019"/>
        <s v="ORD020"/>
        <s v="ORD021"/>
        <s v="ORD022"/>
        <s v="ORD023"/>
        <s v="ORD024"/>
        <s v="ORD025"/>
        <s v="ORD026"/>
        <s v="ORD027"/>
        <s v="ORD028"/>
        <s v="ORD029"/>
        <s v="ORD030"/>
        <s v="ORD031"/>
        <s v="ORD032"/>
        <s v="ORD033"/>
        <s v="ORD034"/>
        <s v="ORD035"/>
        <s v="ORD036"/>
        <s v="ORD037"/>
        <s v="ORD038"/>
        <s v="ORD039"/>
        <s v="ORD040"/>
        <s v="ORD041"/>
        <s v="ORD042"/>
        <s v="ORD043"/>
        <s v="ORD044"/>
        <s v="ORD045"/>
        <s v="ORD046"/>
        <s v="ORD047"/>
        <s v="ORD048"/>
        <s v="ORD049"/>
        <s v="ORD050"/>
        <s v="ORD051"/>
        <s v="ORD052"/>
        <s v="ORD053"/>
        <s v="ORD054"/>
        <s v="ORD055"/>
        <s v="ORD056"/>
        <s v="ORD057"/>
        <s v="ORD058"/>
        <s v="ORD059"/>
        <s v="ORD060"/>
        <s v="ORD061"/>
        <s v="ORD062"/>
        <s v="ORD063"/>
        <s v="ORD064"/>
        <s v="ORD065"/>
        <s v="ORD066"/>
        <s v="ORD067"/>
        <s v="ORD068"/>
        <s v="ORD069"/>
        <s v="ORD070"/>
        <s v="ORD071"/>
        <s v="ORD072"/>
        <s v="ORD073"/>
        <s v="ORD074"/>
        <s v="ORD075"/>
        <s v="ORD076"/>
        <s v="ORD077"/>
        <s v="ORD078"/>
        <s v="ORD079"/>
        <s v="ORD080"/>
        <s v="ORD081"/>
        <s v="ORD082"/>
        <s v="ORD083"/>
        <s v="ORD084"/>
        <s v="ORD085"/>
        <s v="ORD086"/>
        <s v="ORD087"/>
        <s v="ORD088"/>
        <s v="ORD089"/>
        <s v="ORD090"/>
        <s v="ORD091"/>
        <s v="ORD092"/>
        <s v="ORD093"/>
        <s v="ORD094"/>
        <s v="ORD095"/>
        <s v="ORD096"/>
        <s v="ORD097"/>
        <s v="ORD098"/>
        <s v="ORD099"/>
        <s v="ORD100"/>
        <s v="ORD101"/>
        <s v="ORD102"/>
        <s v="ORD103"/>
        <s v="ORD104"/>
        <s v="ORD105"/>
        <s v="ORD106"/>
        <s v="ORD107"/>
        <s v="ORD108"/>
        <s v="ORD109"/>
        <s v="ORD110"/>
        <s v="ORD111"/>
        <s v="ORD112"/>
        <s v="ORD113"/>
        <s v="ORD114"/>
        <s v="ORD115"/>
        <s v="ORD116"/>
        <s v="ORD117"/>
        <s v="ORD118"/>
        <s v="ORD119"/>
        <s v="ORD120"/>
        <s v="ORD121"/>
        <s v="ORD122"/>
        <s v="ORD123"/>
        <s v="ORD124"/>
        <s v="ORD125"/>
        <s v="ORD126"/>
        <s v="ORD127"/>
        <s v="ORD128"/>
        <s v="ORD129"/>
        <s v="ORD130"/>
        <s v="ORD131"/>
        <s v="ORD132"/>
        <s v="ORD133"/>
        <s v="ORD134"/>
        <s v="ORD135"/>
        <s v="ORD136"/>
        <s v="ORD137"/>
        <s v="ORD138"/>
        <s v="ORD139"/>
        <s v="ORD140"/>
        <s v="ORD141"/>
        <s v="ORD143"/>
        <s v="ORD144"/>
        <s v="ORD145"/>
        <s v="ORD146"/>
        <s v="ORD147"/>
        <s v="ORD148"/>
        <s v="ORD149"/>
        <s v="ORD150"/>
        <s v="ORD151"/>
        <s v="ORD152"/>
        <s v="ORD153"/>
        <s v="ORD154"/>
        <s v="ORD155"/>
        <s v="ORD156"/>
        <s v="ORD157"/>
        <s v="ORD158"/>
        <s v="ORD159"/>
        <s v="ORD160"/>
        <s v="ORD161"/>
        <s v="ORD162"/>
        <s v="ORD163"/>
        <s v="ORD164"/>
        <s v="ORD165"/>
        <s v="ORD166"/>
        <s v="ORD167"/>
        <s v="ORD168"/>
        <s v="ORD169"/>
        <s v="ORD170"/>
        <s v="ORD171"/>
        <s v="ORD172"/>
        <s v="ORD173"/>
        <s v="ORD174"/>
        <s v="ORD175"/>
        <s v="ORD176"/>
        <s v="ORD177"/>
        <s v="ORD178"/>
        <s v="ORD179"/>
        <s v="ORD180"/>
        <s v="ORD181"/>
        <s v="ORD182"/>
        <s v="ORD183"/>
        <s v="ORD184"/>
        <s v="ORD185"/>
        <s v="ORD186"/>
        <s v="ORD187"/>
        <s v="ORD188"/>
        <s v="ORD189"/>
        <s v="ORD190"/>
        <s v="ORD191"/>
        <s v="ORD192"/>
        <s v="ORD193"/>
        <s v="ORD194"/>
        <s v="ORD195"/>
        <s v="ORD196"/>
        <s v="ORD197"/>
        <s v="ORD198"/>
        <s v="ORD199"/>
        <s v="ORD200"/>
        <s v="ORD201"/>
        <s v="ORD202"/>
        <s v="ORD203"/>
        <s v="ORD204"/>
        <s v="ORD205"/>
        <s v="ORD206"/>
        <s v="ORD207"/>
        <s v="ORD208"/>
        <s v="ORD209"/>
        <s v="ORD210"/>
        <s v="ORD211"/>
        <s v="ORD212"/>
        <s v="ORD213"/>
        <s v="ORD214"/>
        <s v="ORD215"/>
        <s v="ORD216"/>
        <s v="ORD217"/>
        <s v="ORD218"/>
        <s v="ORD219"/>
        <s v="ORD220"/>
        <s v="ORD221"/>
        <s v="ORD222"/>
        <s v="ORD223"/>
        <s v="ORD224"/>
        <s v="ORD225"/>
        <s v="ORD226"/>
        <s v="ORD227"/>
        <s v="ORD228"/>
        <s v="ORD229"/>
        <s v="ORD230"/>
        <s v="ORD231"/>
        <s v="ORD232"/>
        <s v="ORD233"/>
        <s v="ORD234"/>
        <s v="ORD235"/>
        <s v="ORD236"/>
        <s v="ORD237"/>
        <s v="ORD238"/>
        <s v="ORD239"/>
        <s v="ORD240"/>
        <s v="ORD241"/>
        <s v="ORD242"/>
        <s v="ORD243"/>
        <s v="ORD244"/>
        <s v="ORD245"/>
        <s v="ORD246"/>
        <s v="ORD247"/>
        <s v="ORD248"/>
        <s v="ORD249"/>
        <s v="ORD250"/>
        <s v="ORD251"/>
        <s v="ORD252"/>
        <s v="ORD253"/>
        <s v="ORD254"/>
        <s v="ORD255"/>
        <s v="ORD256"/>
        <s v="ORD257"/>
        <s v="ORD258"/>
        <s v="ORD259"/>
        <s v="ORD260"/>
        <s v="ORD261"/>
        <s v="ORD262"/>
        <s v="ORD263"/>
        <s v="ORD264"/>
        <s v="ORD265"/>
        <s v="ORD266"/>
        <s v="ORD267"/>
        <s v="ORD268"/>
        <s v="ORD269"/>
        <s v="ORD270"/>
        <s v="ORD271"/>
        <s v="ORD272"/>
        <s v="ORD273"/>
        <s v="ORD274"/>
        <s v="ORD275"/>
        <s v="ORD276"/>
        <s v="ORD277"/>
        <s v="ORD278"/>
        <s v="ORD279"/>
        <s v="ORD280"/>
        <s v="ORD281"/>
        <s v="ORD282"/>
        <s v="ORD283"/>
        <s v="ORD284"/>
        <s v="ORD285"/>
        <s v="ORD286"/>
        <s v="ORD287"/>
        <s v="ORD288"/>
        <s v="ORD289"/>
        <s v="ORD290"/>
        <s v="ORD291"/>
        <s v="ORD292"/>
        <s v="ORD293"/>
        <s v="ORD294"/>
        <s v="ORD295"/>
        <s v="ORD296"/>
        <s v="ORD297"/>
        <s v="ORD298"/>
        <s v="ORD299"/>
        <s v="ORD300"/>
        <s v="ORD301"/>
        <s v="ORD302"/>
        <s v="ORD303"/>
        <s v="ORD304"/>
        <s v="ORD305"/>
        <s v="ORD306"/>
        <s v="ORD307"/>
        <s v="ORD308"/>
        <s v="ORD309"/>
        <s v="ORD310"/>
        <s v="ORD311"/>
        <s v="ORD312"/>
        <s v="ORD313"/>
        <s v="ORD314"/>
        <s v="ORD315"/>
        <s v="ORD316"/>
        <s v="ORD317"/>
        <s v="ORD318"/>
        <s v="ORD319"/>
        <s v="ORD320"/>
        <s v="ORD321"/>
        <s v="ORD322"/>
        <s v="ORD323"/>
        <s v="ORD324"/>
        <s v="ORD325"/>
        <s v="ORD326"/>
        <s v="ORD327"/>
        <s v="ORD328"/>
        <s v="ORD329"/>
        <s v="ORD330"/>
        <s v="ORD331"/>
        <s v="ORD332"/>
        <s v="ORD333"/>
        <s v="ORD334"/>
        <s v="ORD335"/>
        <s v="ORD336"/>
        <s v="ORD337"/>
        <s v="ORD338"/>
        <s v="ORD339"/>
        <s v="ORD340"/>
        <s v="ORD341"/>
        <s v="ORD342"/>
        <s v="ORD343"/>
        <s v="ORD344"/>
        <s v="ORD345"/>
        <s v="ORD346"/>
        <s v="ORD347"/>
        <s v="ORD348"/>
        <s v="ORD349"/>
        <s v="ORD350"/>
        <s v="ORD351"/>
        <s v="ORD352"/>
        <s v="ORD353"/>
        <s v="ORD354"/>
        <s v="ORD355"/>
        <s v="ORD356"/>
        <s v="ORD357"/>
        <s v="ORD358"/>
        <s v="ORD359"/>
        <s v="ORD360"/>
        <s v="ORD361"/>
        <s v="ORD362"/>
        <s v="ORD363"/>
        <s v="ORD364"/>
        <s v="ORD365"/>
        <s v="ORD366"/>
        <s v="ORD367"/>
        <s v="ORD368"/>
        <s v="ORD369"/>
        <s v="ORD370"/>
        <s v="ORD371"/>
        <s v="ORD372"/>
        <s v="ORD373"/>
        <s v="ORD374"/>
        <s v="ORD375"/>
        <s v="ORD376"/>
        <s v="ORD377"/>
        <s v="ORD378"/>
        <s v="ORD379"/>
        <s v="ORD380"/>
        <s v="ORD381"/>
        <s v="ORD382"/>
        <s v="ORD384"/>
        <s v="ORD385"/>
        <s v="ORD386"/>
        <s v="ORD387"/>
        <s v="ORD388"/>
        <s v="ORD389"/>
        <s v="ORD390"/>
        <s v="ORD391"/>
        <s v="ORD392"/>
        <s v="ORD393"/>
        <s v="ORD394"/>
        <s v="ORD395"/>
        <s v="ORD396"/>
        <s v="ORD397"/>
        <s v="ORD398"/>
        <s v="ORD399"/>
        <s v="ORD400"/>
        <s v="ORD401"/>
        <s v="ORD402"/>
        <s v="ORD403"/>
        <s v="ORD404"/>
        <s v="ORD405"/>
        <s v="ORD406"/>
        <s v="ORD407"/>
        <s v="ORD408"/>
        <s v="ORD409"/>
        <s v="ORD410"/>
        <s v="ORD411"/>
        <s v="ORD412"/>
        <s v="ORD413"/>
        <s v="ORD414"/>
        <s v="ORD415"/>
        <s v="ORD416"/>
        <s v="ORD417"/>
        <s v="ORD418"/>
        <s v="ORD419"/>
        <s v="ORD420"/>
        <s v="ORD421"/>
        <s v="ORD422"/>
        <s v="ORD423"/>
        <s v="ORD424"/>
        <s v="ORD425"/>
        <s v="ORD426"/>
        <s v="ORD427"/>
        <s v="ORD428"/>
        <s v="ORD429"/>
        <s v="ORD430"/>
        <s v="ORD431"/>
        <s v="ORD432"/>
        <s v="ORD433"/>
        <s v="ORD434"/>
        <s v="ORD435"/>
        <s v="ORD436"/>
        <s v="ORD437"/>
        <s v="ORD438"/>
        <s v="ORD439"/>
        <s v="ORD440"/>
        <s v="ORD441"/>
        <s v="ORD442"/>
        <s v="ORD443"/>
        <s v="ORD444"/>
        <s v="ORD445"/>
        <s v="ORD446"/>
        <s v="ORD447"/>
        <s v="ORD448"/>
        <s v="ORD449"/>
        <s v="ORD450"/>
        <s v="ORD451"/>
        <s v="ORD452"/>
        <s v="ORD453"/>
        <s v="ORD454"/>
        <s v="ORD455"/>
        <s v="ORD456"/>
        <s v="ORD457"/>
        <s v="ORD458"/>
        <s v="ORD459"/>
        <s v="ORD460"/>
        <s v="ORD461"/>
        <s v="ORD462"/>
        <s v="ORD463"/>
        <s v="ORD464"/>
        <s v="ORD465"/>
        <s v="ORD466"/>
        <s v="ORD467"/>
        <s v="ORD468"/>
        <s v="ORD469"/>
        <s v="ORD470"/>
        <s v="ORD471"/>
        <s v="ORD472"/>
        <s v="ORD473"/>
        <s v="ORD474"/>
        <s v="ORD475"/>
        <s v="ORD476"/>
        <s v="ORD477"/>
        <s v="ORD478"/>
        <s v="ORD479"/>
        <s v="ORD480"/>
        <s v="ORD481"/>
        <s v="ORD482"/>
        <s v="ORD483"/>
        <s v="ORD484"/>
        <s v="ORD485"/>
        <s v="ORD486"/>
        <s v="ORD487"/>
        <s v="ORD488"/>
        <s v="ORD489"/>
        <s v="ORD490"/>
        <s v="ORD491"/>
        <s v="ORD492"/>
        <s v="ORD493"/>
        <s v="ORD494"/>
        <s v="ORD495"/>
        <s v="ORD496"/>
        <s v="ORD497"/>
        <s v="ORD498"/>
        <s v="ORD499"/>
        <s v="ORD500"/>
        <s v="ORD501"/>
        <s v="ORD502"/>
        <s v="ORD503"/>
        <s v="ORD504"/>
        <s v="ORD505"/>
        <s v="ORD506"/>
        <s v="ORD507"/>
        <s v="ORD508"/>
        <s v="ORD509"/>
        <s v="ORD510"/>
        <s v="ORD511"/>
        <s v="ORD512"/>
        <s v="ORD513"/>
        <s v="ORD514"/>
        <s v="ORD515"/>
        <s v="ORD516"/>
        <s v="ORD517"/>
        <s v="ORD518"/>
        <s v="ORD519"/>
        <s v="ORD520"/>
        <s v="ORD521"/>
        <s v="ORD522"/>
        <s v="ORD523"/>
        <s v="ORD524"/>
        <s v="ORD525"/>
        <s v="ORD526"/>
        <s v="ORD527"/>
        <s v="ORD528"/>
        <s v="ORD529"/>
        <s v="ORD530"/>
        <s v="ORD531"/>
        <s v="ORD532"/>
        <s v="ORD533"/>
        <s v="ORD534"/>
        <s v="ORD535"/>
        <s v="ORD536"/>
        <s v="ORD537"/>
        <s v="ORD538"/>
        <s v="ORD539"/>
        <s v="ORD540"/>
        <s v="ORD541"/>
        <s v="ORD542"/>
        <s v="ORD543"/>
        <s v="ORD544"/>
        <s v="ORD545"/>
        <s v="ORD546"/>
        <s v="ORD547"/>
        <s v="ORD548"/>
        <s v="ORD549"/>
        <s v="ORD550"/>
        <s v="ORD551"/>
        <s v="ORD552"/>
        <s v="ORD553"/>
        <s v="ORD554"/>
        <s v="ORD555"/>
        <s v="ORD556"/>
        <s v="ORD557"/>
        <s v="ORD558"/>
        <s v="ORD559"/>
        <s v="ORD560"/>
        <s v="ORD561"/>
        <s v="ORD562"/>
        <s v="ORD563"/>
        <s v="ORD564"/>
        <s v="ORD565"/>
        <s v="ORD566"/>
        <s v="ORD567"/>
        <s v="ORD568"/>
        <s v="ORD569"/>
        <s v="ORD570"/>
        <s v="ORD571"/>
        <s v="ORD572"/>
        <s v="ORD573"/>
        <s v="ORD574"/>
        <s v="ORD575"/>
        <s v="ORD576"/>
        <s v="ORD577"/>
        <s v="ORD578"/>
        <s v="ORD579"/>
        <s v="ORD580"/>
        <s v="ORD581"/>
        <s v="ORD582"/>
        <s v="ORD583"/>
        <s v="ORD584"/>
        <s v="ORD585"/>
        <s v="ORD586"/>
        <s v="ORD587"/>
        <s v="ORD588"/>
        <s v="ORD589"/>
        <s v="ORD590"/>
        <s v="ORD591"/>
        <s v="ORD592"/>
        <s v="ORD593"/>
        <s v="ORD594"/>
        <s v="ORD595"/>
        <s v="ORD596"/>
        <s v="ORD597"/>
        <s v="ORD598"/>
        <s v="ORD599"/>
        <s v="ORD600"/>
        <s v="ORD601"/>
        <s v="ORD602"/>
        <s v="ORD603"/>
        <s v="ORD604"/>
        <s v="ORD605"/>
        <s v="ORD606"/>
        <s v="ORD607"/>
        <s v="ORD608"/>
        <s v="ORD609"/>
        <s v="ORD610"/>
        <s v="ORD611"/>
        <s v="ORD612"/>
        <s v="ORD613"/>
        <s v="ORD614"/>
        <s v="ORD615"/>
        <s v="ORD616"/>
        <s v="ORD617"/>
        <s v="ORD618"/>
        <s v="ORD619"/>
        <s v="ORD620"/>
        <s v="ORD621"/>
        <s v="ORD622"/>
        <s v="ORD623"/>
        <s v="ORD624"/>
        <s v="ORD625"/>
        <s v="ORD626"/>
        <s v="ORD627"/>
        <s v="ORD628"/>
        <s v="ORD629"/>
        <s v="ORD630"/>
        <s v="ORD631"/>
        <s v="ORD632"/>
        <s v="ORD633"/>
        <s v="ORD634"/>
        <s v="ORD635"/>
        <s v="ORD636"/>
        <s v="ORD637"/>
        <s v="ORD638"/>
        <s v="ORD639"/>
        <s v="ORD640"/>
        <s v="ORD641"/>
        <s v="ORD642"/>
        <s v="ORD643"/>
        <s v="ORD644"/>
        <s v="ORD645"/>
        <s v="ORD646"/>
        <s v="ORD647"/>
        <s v="ORD648"/>
        <s v="ORD649"/>
        <s v="ORD650"/>
        <s v="ORD651"/>
        <s v="ORD652"/>
        <s v="ORD653"/>
        <s v="ORD654"/>
        <s v="ORD655"/>
        <s v="ORD656"/>
        <s v="ORD657"/>
        <s v="ORD658"/>
        <s v="ORD659"/>
        <s v="ORD660"/>
        <s v="ORD661"/>
        <s v="ORD662"/>
        <s v="ORD663"/>
        <s v="ORD664"/>
        <s v="ORD665"/>
        <s v="ORD666"/>
        <s v="ORD667"/>
        <s v="ORD668"/>
        <s v="ORD669"/>
        <s v="ORD670"/>
        <s v="ORD671"/>
        <s v="ORD672"/>
        <s v="ORD673"/>
        <s v="ORD674"/>
        <s v="ORD675"/>
        <s v="ORD676"/>
        <s v="ORD677"/>
        <s v="ORD678"/>
        <s v="ORD679"/>
        <s v="ORD680"/>
        <s v="ORD681"/>
        <s v="ORD682"/>
        <s v="ORD683"/>
        <s v="ORD684"/>
        <s v="ORD685"/>
        <s v="ORD686"/>
        <s v="ORD687"/>
        <s v="ORD688"/>
        <s v="ORD689"/>
        <s v="ORD690"/>
        <s v="ORD691"/>
        <s v="ORD692"/>
        <s v="ORD693"/>
        <s v="ORD694"/>
        <s v="ORD695"/>
        <s v="ORD696"/>
        <s v="ORD697"/>
        <s v="ORD698"/>
        <s v="ORD699"/>
        <s v="ORD700"/>
        <s v="ORD701"/>
        <s v="ORD702"/>
        <s v="ORD703"/>
        <s v="ORD704"/>
        <s v="ORD705"/>
        <s v="ORD706"/>
        <s v="ORD707"/>
        <s v="ORD708"/>
        <s v="ORD709"/>
        <s v="ORD710"/>
        <s v="ORD711"/>
        <s v="ORD712"/>
        <s v="ORD713"/>
        <s v="ORD714"/>
        <s v="ORD715"/>
        <s v="ORD716"/>
        <s v="ORD717"/>
        <s v="ORD718"/>
        <s v="ORD719"/>
        <s v="ORD720"/>
        <s v="ORD721"/>
        <s v="ORD722"/>
        <s v="ORD723"/>
        <s v="ORD724"/>
        <s v="ORD725"/>
        <s v="ORD726"/>
        <s v="ORD727"/>
        <s v="ORD728"/>
        <s v="ORD729"/>
        <s v="ORD730"/>
        <s v="ORD731"/>
        <s v="ORD732"/>
        <s v="ORD733"/>
        <s v="ORD734"/>
        <s v="ORD735"/>
        <s v="ORD736"/>
        <s v="ORD737"/>
        <s v="ORD738"/>
        <s v="ORD739"/>
        <s v="ORD740"/>
        <s v="ORD741"/>
        <s v="ORD742"/>
        <s v="ORD743"/>
        <s v="ORD744"/>
        <s v="ORD745"/>
        <s v="ORD746"/>
        <s v="ORD747"/>
        <s v="ORD748"/>
        <s v="ORD749"/>
        <s v="ORD750"/>
        <s v="ORD751"/>
        <s v="ORD752"/>
        <s v="ORD753"/>
        <s v="ORD754"/>
        <s v="ORD755"/>
        <s v="ORD756"/>
        <s v="ORD757"/>
        <s v="ORD758"/>
        <s v="ORD759"/>
        <s v="ORD760"/>
        <s v="ORD761"/>
        <s v="ORD762"/>
        <s v="ORD763"/>
        <s v="ORD764"/>
        <s v="ORD765"/>
        <s v="ORD766"/>
        <s v="ORD767"/>
        <s v="ORD768"/>
        <s v="ORD769"/>
        <s v="ORD770"/>
        <s v="ORD771"/>
        <s v="ORD772"/>
        <s v="ORD773"/>
        <s v="ORD774"/>
        <s v="ORD775"/>
        <s v="ORD776"/>
        <s v="ORD777"/>
        <s v="ORD778"/>
        <s v="ORD779"/>
        <s v="ORD780"/>
        <s v="ORD781"/>
        <s v="ORD782"/>
        <s v="ORD783"/>
        <s v="ORD784"/>
        <s v="ORD785"/>
        <s v="ORD786"/>
        <s v="ORD787"/>
        <s v="ORD788"/>
        <s v="ORD789"/>
        <s v="ORD790"/>
        <s v="ORD791"/>
        <s v="ORD792"/>
        <s v="ORD793"/>
        <s v="ORD794"/>
        <s v="ORD795"/>
        <s v="ORD796"/>
        <s v="ORD797"/>
        <s v="ORD798"/>
        <s v="ORD799"/>
        <s v="ORD800"/>
        <s v="ORD801"/>
        <s v="ORD802"/>
        <s v="ORD803"/>
        <s v="ORD804"/>
        <s v="ORD805"/>
        <s v="ORD806"/>
        <s v="ORD807"/>
        <s v="ORD808"/>
        <s v="ORD809"/>
        <s v="ORD810"/>
        <s v="ORD811"/>
        <s v="ORD812"/>
        <s v="ORD813"/>
        <s v="ORD814"/>
        <s v="ORD815"/>
        <s v="ORD816"/>
        <s v="ORD817"/>
        <s v="ORD818"/>
        <s v="ORD819"/>
        <s v="ORD820"/>
        <s v="ORD821"/>
        <s v="ORD822"/>
        <s v="ORD823"/>
        <s v="ORD824"/>
        <s v="ORD825"/>
        <s v="ORD826"/>
        <s v="ORD827"/>
        <s v="ORD828"/>
        <s v="ORD829"/>
        <s v="ORD830"/>
        <s v="ORD831"/>
        <s v="ORD832"/>
        <s v="ORD833"/>
        <s v="ORD834"/>
        <s v="ORD835"/>
        <s v="ORD836"/>
        <s v="ORD837"/>
        <s v="ORD838"/>
        <s v="ORD839"/>
        <s v="ORD840"/>
        <s v="ORD841"/>
        <s v="ORD842"/>
        <s v="ORD843"/>
        <s v="ORD844"/>
        <s v="ORD845"/>
        <s v="ORD846"/>
        <s v="ORD847"/>
        <s v="ORD848"/>
        <s v="ORD849"/>
        <s v="ORD850"/>
        <s v="ORD851"/>
        <s v="ORD852"/>
        <s v="ORD853"/>
        <s v="ORD854"/>
        <s v="ORD855"/>
        <s v="ORD856"/>
        <s v="ORD857"/>
        <s v="ORD858"/>
        <s v="ORD859"/>
        <s v="ORD860"/>
        <s v="ORD861"/>
        <s v="ORD862"/>
        <s v="ORD863"/>
        <s v="ORD864"/>
        <s v="ORD865"/>
        <s v="ORD866"/>
        <s v="ORD867"/>
        <s v="ORD868"/>
        <s v="ORD869"/>
        <s v="ORD870"/>
        <s v="ORD871"/>
        <s v="ORD872"/>
        <s v="ORD873"/>
        <s v="ORD874"/>
        <s v="ORD875"/>
        <s v="ORD876"/>
        <s v="ORD877"/>
        <s v="ORD878"/>
        <s v="ORD879"/>
        <s v="ORD880"/>
        <s v="ORD881"/>
        <s v="ORD882"/>
        <s v="ORD883"/>
        <s v="ORD884"/>
        <s v="ORD885"/>
        <s v="ORD886"/>
        <s v="ORD887"/>
        <s v="ORD888"/>
        <s v="ORD889"/>
        <s v="ORD890"/>
        <s v="ORD891"/>
        <s v="ORD892"/>
        <s v="ORD893"/>
        <s v="ORD894"/>
        <s v="ORD895"/>
        <s v="ORD896"/>
        <s v="ORD897"/>
        <s v="ORD898"/>
        <s v="ORD899"/>
        <s v="ORD900"/>
        <s v="ORD901"/>
        <s v="ORD902"/>
        <s v="ORD903"/>
        <s v="ORD904"/>
        <s v="ORD905"/>
        <s v="ORD906"/>
        <s v="ORD907"/>
        <s v="ORD908"/>
        <s v="ORD909"/>
        <s v="ORD910"/>
        <s v="ORD911"/>
        <s v="ORD912"/>
        <s v="ORD913"/>
        <s v="ORD914"/>
        <s v="ORD915"/>
        <s v="ORD916"/>
        <s v="ORD917"/>
        <s v="ORD918"/>
        <s v="ORD919"/>
        <s v="ORD920"/>
        <s v="ORD921"/>
        <s v="ORD922"/>
        <s v="ORD923"/>
        <s v="ORD924"/>
        <s v="ORD925"/>
        <s v="ORD926"/>
        <s v="ORD927"/>
        <s v="ORD928"/>
        <s v="ORD929"/>
        <s v="ORD930"/>
        <s v="ORD931"/>
        <s v="ORD932"/>
        <s v="ORD933"/>
        <s v="ORD934"/>
        <s v="ORD935"/>
        <s v="ORD936"/>
        <s v="ORD937"/>
        <s v="ORD938"/>
        <s v="ORD939"/>
        <s v="ORD940"/>
        <s v="ORD941"/>
        <s v="ORD942"/>
        <s v="ORD943"/>
        <s v="ORD944"/>
        <s v="ORD945"/>
        <s v="ORD946"/>
        <s v="ORD947"/>
        <s v="ORD948"/>
        <s v="ORD949"/>
        <s v="ORD950"/>
        <s v="ORD951"/>
        <s v="ORD952"/>
        <s v="ORD953"/>
        <s v="ORD954"/>
        <s v="ORD955"/>
        <s v="ORD956"/>
        <s v="ORD957"/>
        <s v="ORD958"/>
        <s v="ORD959"/>
        <s v="ORD960"/>
        <s v="ORD961"/>
        <s v="ORD962"/>
        <s v="ORD963"/>
        <s v="ORD964"/>
        <s v="ORD965"/>
        <s v="ORD966"/>
        <s v="ORD967"/>
        <s v="ORD968"/>
        <s v="ORD969"/>
        <s v="ORD970"/>
        <s v="ORD971"/>
        <s v="ORD972"/>
        <s v="ORD973"/>
        <s v="ORD974"/>
        <s v="ORD975"/>
        <s v="ORD976"/>
        <s v="ORD977"/>
        <s v="ORD978"/>
        <s v="ORD979"/>
        <s v="ORD980"/>
        <s v="ORD981"/>
        <s v="ORD982"/>
        <s v="ORD983"/>
        <s v="ORD984"/>
        <s v="ORD985"/>
        <s v="ORD986"/>
        <s v="ORD987"/>
        <s v="ORD988"/>
        <s v="ORD989"/>
        <s v="ORD990"/>
        <s v="ORD991"/>
        <s v="ORD992"/>
        <s v="ORD993"/>
        <s v="ORD994"/>
        <s v="ORD995"/>
        <s v="ORD996"/>
        <s v="ORD997"/>
        <s v="ORD998"/>
        <s v="ORD999"/>
        <s v="ORD1000"/>
      </sharedItems>
    </cacheField>
    <cacheField name="Product Name" numFmtId="0">
      <sharedItems count="5">
        <s v="Block Print Bedsheet"/>
        <s v="Silk Cushion Covers"/>
        <s v="Embroidered Lehenga"/>
        <s v="Handwoven Saree"/>
        <s v="Hand-Embroidered Dupatta"/>
      </sharedItems>
    </cacheField>
    <cacheField name="Category" numFmtId="0">
      <sharedItems count="3">
        <s v="Home Décor"/>
        <s v="Bridal Wear"/>
        <s v="Apparel"/>
      </sharedItems>
    </cacheField>
    <cacheField name="Artisan ID" numFmtId="0">
      <sharedItems/>
    </cacheField>
    <cacheField name="Sales Date" numFmtId="14">
      <sharedItems containsSemiMixedTypes="0" containsNonDate="0" containsDate="1" containsString="0" minDate="2023-01-01T00:00:00" maxDate="2023-11-24T00:00:00"/>
    </cacheField>
    <cacheField name="Sales Channel" numFmtId="0">
      <sharedItems count="4">
        <s v="Exhibition"/>
        <s v="Custom Order"/>
        <s v="In-Store"/>
        <s v="Online"/>
      </sharedItems>
    </cacheField>
    <cacheField name="Customer Location" numFmtId="0">
      <sharedItems count="7">
        <s v="London"/>
        <s v="New York"/>
        <s v="Tokyo"/>
        <s v="Sydney"/>
        <s v="Mumbai"/>
        <s v="Delhi"/>
        <s v="Bengaluru"/>
      </sharedItems>
    </cacheField>
    <cacheField name="Units Sold" numFmtId="0">
      <sharedItems containsSemiMixedTypes="0" containsString="0" containsNumber="1" containsInteger="1" minValue="1" maxValue="10"/>
    </cacheField>
    <cacheField name="Unit Price" numFmtId="0">
      <sharedItems containsSemiMixedTypes="0" containsString="0" containsNumber="1" containsInteger="1" minValue="2023" maxValue="69975"/>
    </cacheField>
    <cacheField name="Total Revenue" numFmtId="0">
      <sharedItems containsSemiMixedTypes="0" containsString="0" containsNumber="1" containsInteger="1" minValue="3091" maxValue="698470"/>
    </cacheField>
    <cacheField name="Material Cost" numFmtId="0">
      <sharedItems containsSemiMixedTypes="0" containsString="0" containsNumber="1" containsInteger="1" minValue="1351" maxValue="360304"/>
    </cacheField>
    <cacheField name="Artisan Payment" numFmtId="0">
      <sharedItems containsSemiMixedTypes="0" containsString="0" containsNumber="1" containsInteger="1" minValue="401" maxValue="134614"/>
    </cacheField>
    <cacheField name="Profit" numFmtId="0">
      <sharedItems containsSemiMixedTypes="0" containsString="0" containsNumber="1" containsInteger="1" minValue="1009" maxValue="335109"/>
    </cacheField>
    <cacheField name="Stock Remaining" numFmtId="0">
      <sharedItems containsSemiMixedTypes="0" containsString="0" containsNumber="1" containsInteger="1" minValue="0" maxValue="50"/>
    </cacheField>
    <cacheField name="Customer Feedback" numFmtId="0">
      <sharedItems count="5">
        <s v="2 - Below Average"/>
        <s v="3 - Average"/>
        <s v="1 - Poor"/>
        <s v="4 - Good"/>
        <s v="5 - Excellent"/>
      </sharedItems>
    </cacheField>
    <cacheField name="Day Name" numFmtId="0">
      <sharedItems/>
    </cacheField>
    <cacheField name="Start of Week" numFmtId="14">
      <sharedItems containsSemiMixedTypes="0" containsNonDate="0" containsDate="1" containsString="0" minDate="2023-01-01T00:00:00" maxDate="2023-11-20T00:00:00"/>
    </cacheField>
    <cacheField name="Start of Quarter" numFmtId="14">
      <sharedItems containsSemiMixedTypes="0" containsNonDate="0" containsDate="1" containsString="0" minDate="2023-01-01T00:00:00" maxDate="2023-10-02T00:00:00"/>
    </cacheField>
    <cacheField name="Month Name" numFmtId="0">
      <sharedItems count="11">
        <s v="July"/>
        <s v="June"/>
        <s v="March"/>
        <s v="October"/>
        <s v="May"/>
        <s v="April"/>
        <s v="February"/>
        <s v="August"/>
        <s v="January"/>
        <s v="September"/>
        <s v="November"/>
      </sharedItems>
    </cacheField>
    <cacheField name="Start of Month" numFmtId="14">
      <sharedItems containsSemiMixedTypes="0" containsNonDate="0" containsDate="1" containsString="0" minDate="2023-01-01T00:00:00" maxDate="2023-11-02T00:00:00"/>
    </cacheField>
    <cacheField name="Year" numFmtId="0">
      <sharedItems containsSemiMixedTypes="0" containsString="0" containsNumber="1" containsInteger="1" minValue="2023" maxValue="2023"/>
    </cacheField>
    <cacheField name="P%" numFmtId="0" formula="Profit /('Material Cost' +'Artisan Payment' )" databaseField="0"/>
  </cacheFields>
  <extLst>
    <ext xmlns:x14="http://schemas.microsoft.com/office/spreadsheetml/2009/9/main" uri="{725AE2AE-9491-48be-B2B4-4EB974FC3084}">
      <x14:pivotCacheDefinition pivotCacheId="19953790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
  <r>
    <x v="0"/>
    <x v="0"/>
    <x v="0"/>
    <s v="ART036"/>
    <d v="2023-07-23T00:00:00"/>
    <x v="0"/>
    <x v="0"/>
    <n v="4"/>
    <n v="24728"/>
    <n v="98912"/>
    <n v="53986"/>
    <n v="15376"/>
    <n v="29550"/>
    <n v="2"/>
    <x v="0"/>
    <s v="Sunday"/>
    <d v="2023-07-23T00:00:00"/>
    <d v="2023-07-01T00:00:00"/>
    <x v="0"/>
    <d v="2023-07-01T00:00:00"/>
    <n v="2023"/>
  </r>
  <r>
    <x v="1"/>
    <x v="1"/>
    <x v="0"/>
    <s v="ART033"/>
    <d v="2023-06-25T00:00:00"/>
    <x v="0"/>
    <x v="1"/>
    <n v="7"/>
    <n v="64906"/>
    <n v="454342"/>
    <n v="228789"/>
    <n v="86574"/>
    <n v="138979"/>
    <n v="2"/>
    <x v="1"/>
    <s v="Sunday"/>
    <d v="2023-06-25T00:00:00"/>
    <d v="2023-04-01T00:00:00"/>
    <x v="1"/>
    <d v="2023-06-01T00:00:00"/>
    <n v="2023"/>
  </r>
  <r>
    <x v="2"/>
    <x v="2"/>
    <x v="1"/>
    <s v="ART044"/>
    <d v="2023-03-01T00:00:00"/>
    <x v="1"/>
    <x v="2"/>
    <n v="6"/>
    <n v="23442"/>
    <n v="140652"/>
    <n v="62753"/>
    <n v="15432"/>
    <n v="62467"/>
    <n v="8"/>
    <x v="2"/>
    <s v="Wednesday"/>
    <d v="2023-02-26T00:00:00"/>
    <d v="2023-01-01T00:00:00"/>
    <x v="2"/>
    <d v="2023-03-01T00:00:00"/>
    <n v="2023"/>
  </r>
  <r>
    <x v="3"/>
    <x v="3"/>
    <x v="2"/>
    <s v="ART039"/>
    <d v="2023-10-09T00:00:00"/>
    <x v="2"/>
    <x v="2"/>
    <n v="1"/>
    <n v="16159"/>
    <n v="16159"/>
    <n v="7378"/>
    <n v="2600"/>
    <n v="6181"/>
    <n v="39"/>
    <x v="3"/>
    <s v="Monday"/>
    <d v="2023-10-08T00:00:00"/>
    <d v="2023-10-01T00:00:00"/>
    <x v="3"/>
    <d v="2023-10-01T00:00:00"/>
    <n v="2023"/>
  </r>
  <r>
    <x v="4"/>
    <x v="0"/>
    <x v="0"/>
    <s v="ART019"/>
    <d v="2023-07-23T00:00:00"/>
    <x v="2"/>
    <x v="0"/>
    <n v="4"/>
    <n v="11821"/>
    <n v="47284"/>
    <n v="15244"/>
    <n v="5895"/>
    <n v="26145"/>
    <n v="12"/>
    <x v="2"/>
    <s v="Sunday"/>
    <d v="2023-07-23T00:00:00"/>
    <d v="2023-07-01T00:00:00"/>
    <x v="0"/>
    <d v="2023-07-01T00:00:00"/>
    <n v="2023"/>
  </r>
  <r>
    <x v="5"/>
    <x v="1"/>
    <x v="0"/>
    <s v="ART050"/>
    <d v="2023-03-19T00:00:00"/>
    <x v="3"/>
    <x v="3"/>
    <n v="2"/>
    <n v="53591"/>
    <n v="107182"/>
    <n v="42766"/>
    <n v="13952"/>
    <n v="50464"/>
    <n v="24"/>
    <x v="0"/>
    <s v="Sunday"/>
    <d v="2023-03-19T00:00:00"/>
    <d v="2023-01-01T00:00:00"/>
    <x v="2"/>
    <d v="2023-03-01T00:00:00"/>
    <n v="2023"/>
  </r>
  <r>
    <x v="6"/>
    <x v="0"/>
    <x v="0"/>
    <s v="ART032"/>
    <d v="2023-07-18T00:00:00"/>
    <x v="0"/>
    <x v="3"/>
    <n v="4"/>
    <n v="10087"/>
    <n v="40348"/>
    <n v="18496"/>
    <n v="5321"/>
    <n v="16531"/>
    <n v="2"/>
    <x v="4"/>
    <s v="Tuesday"/>
    <d v="2023-07-16T00:00:00"/>
    <d v="2023-07-01T00:00:00"/>
    <x v="0"/>
    <d v="2023-07-01T00:00:00"/>
    <n v="2023"/>
  </r>
  <r>
    <x v="7"/>
    <x v="0"/>
    <x v="0"/>
    <s v="ART033"/>
    <d v="2023-10-16T00:00:00"/>
    <x v="0"/>
    <x v="4"/>
    <n v="8"/>
    <n v="4683"/>
    <n v="37464"/>
    <n v="20193"/>
    <n v="4213"/>
    <n v="13058"/>
    <n v="46"/>
    <x v="2"/>
    <s v="Monday"/>
    <d v="2023-10-15T00:00:00"/>
    <d v="2023-10-01T00:00:00"/>
    <x v="3"/>
    <d v="2023-10-01T00:00:00"/>
    <n v="2023"/>
  </r>
  <r>
    <x v="8"/>
    <x v="3"/>
    <x v="2"/>
    <s v="ART017"/>
    <d v="2023-05-20T00:00:00"/>
    <x v="2"/>
    <x v="1"/>
    <n v="1"/>
    <n v="40448"/>
    <n v="40448"/>
    <n v="16688"/>
    <n v="7220"/>
    <n v="16540"/>
    <n v="26"/>
    <x v="1"/>
    <s v="Saturday"/>
    <d v="2023-05-14T00:00:00"/>
    <d v="2023-04-01T00:00:00"/>
    <x v="4"/>
    <d v="2023-05-01T00:00:00"/>
    <n v="2023"/>
  </r>
  <r>
    <x v="9"/>
    <x v="1"/>
    <x v="0"/>
    <s v="ART038"/>
    <d v="2023-06-26T00:00:00"/>
    <x v="0"/>
    <x v="4"/>
    <n v="6"/>
    <n v="42425"/>
    <n v="254550"/>
    <n v="144568"/>
    <n v="41577"/>
    <n v="68405"/>
    <n v="8"/>
    <x v="3"/>
    <s v="Monday"/>
    <d v="2023-06-25T00:00:00"/>
    <d v="2023-04-01T00:00:00"/>
    <x v="1"/>
    <d v="2023-06-01T00:00:00"/>
    <n v="2023"/>
  </r>
  <r>
    <x v="10"/>
    <x v="4"/>
    <x v="2"/>
    <s v="ART009"/>
    <d v="2023-04-30T00:00:00"/>
    <x v="2"/>
    <x v="2"/>
    <n v="10"/>
    <n v="45983"/>
    <n v="459830"/>
    <n v="190907"/>
    <n v="86328"/>
    <n v="182595"/>
    <n v="4"/>
    <x v="2"/>
    <s v="Sunday"/>
    <d v="2023-04-30T00:00:00"/>
    <d v="2023-04-01T00:00:00"/>
    <x v="5"/>
    <d v="2023-04-01T00:00:00"/>
    <n v="2023"/>
  </r>
  <r>
    <x v="11"/>
    <x v="1"/>
    <x v="0"/>
    <s v="ART034"/>
    <d v="2023-10-22T00:00:00"/>
    <x v="1"/>
    <x v="0"/>
    <n v="4"/>
    <n v="38838"/>
    <n v="155352"/>
    <n v="88143"/>
    <n v="31034"/>
    <n v="36175"/>
    <n v="38"/>
    <x v="2"/>
    <s v="Sunday"/>
    <d v="2023-10-22T00:00:00"/>
    <d v="2023-10-01T00:00:00"/>
    <x v="3"/>
    <d v="2023-10-01T00:00:00"/>
    <n v="2023"/>
  </r>
  <r>
    <x v="12"/>
    <x v="4"/>
    <x v="2"/>
    <s v="ART001"/>
    <d v="2023-07-24T00:00:00"/>
    <x v="2"/>
    <x v="0"/>
    <n v="8"/>
    <n v="37185"/>
    <n v="297480"/>
    <n v="136853"/>
    <n v="48793"/>
    <n v="111834"/>
    <n v="12"/>
    <x v="3"/>
    <s v="Monday"/>
    <d v="2023-07-23T00:00:00"/>
    <d v="2023-07-01T00:00:00"/>
    <x v="0"/>
    <d v="2023-07-01T00:00:00"/>
    <n v="2023"/>
  </r>
  <r>
    <x v="13"/>
    <x v="3"/>
    <x v="2"/>
    <s v="ART045"/>
    <d v="2023-06-13T00:00:00"/>
    <x v="0"/>
    <x v="5"/>
    <n v="10"/>
    <n v="58445"/>
    <n v="584450"/>
    <n v="326217"/>
    <n v="61726"/>
    <n v="196507"/>
    <n v="11"/>
    <x v="0"/>
    <s v="Tuesday"/>
    <d v="2023-06-11T00:00:00"/>
    <d v="2023-04-01T00:00:00"/>
    <x v="1"/>
    <d v="2023-06-01T00:00:00"/>
    <n v="2023"/>
  </r>
  <r>
    <x v="14"/>
    <x v="1"/>
    <x v="0"/>
    <s v="ART023"/>
    <d v="2023-02-02T00:00:00"/>
    <x v="2"/>
    <x v="3"/>
    <n v="2"/>
    <n v="4089"/>
    <n v="8178"/>
    <n v="3927"/>
    <n v="1344"/>
    <n v="2907"/>
    <n v="15"/>
    <x v="0"/>
    <s v="Thursday"/>
    <d v="2023-01-29T00:00:00"/>
    <d v="2023-01-01T00:00:00"/>
    <x v="6"/>
    <d v="2023-02-01T00:00:00"/>
    <n v="2023"/>
  </r>
  <r>
    <x v="15"/>
    <x v="4"/>
    <x v="2"/>
    <s v="ART030"/>
    <d v="2023-04-13T00:00:00"/>
    <x v="2"/>
    <x v="1"/>
    <n v="7"/>
    <n v="42331"/>
    <n v="296317"/>
    <n v="102202"/>
    <n v="56701"/>
    <n v="137414"/>
    <n v="42"/>
    <x v="3"/>
    <s v="Thursday"/>
    <d v="2023-04-09T00:00:00"/>
    <d v="2023-04-01T00:00:00"/>
    <x v="5"/>
    <d v="2023-04-01T00:00:00"/>
    <n v="2023"/>
  </r>
  <r>
    <x v="16"/>
    <x v="2"/>
    <x v="1"/>
    <s v="ART015"/>
    <d v="2023-10-16T00:00:00"/>
    <x v="2"/>
    <x v="1"/>
    <n v="8"/>
    <n v="50804"/>
    <n v="406432"/>
    <n v="204754"/>
    <n v="62669"/>
    <n v="139009"/>
    <n v="5"/>
    <x v="4"/>
    <s v="Monday"/>
    <d v="2023-10-15T00:00:00"/>
    <d v="2023-10-01T00:00:00"/>
    <x v="3"/>
    <d v="2023-10-01T00:00:00"/>
    <n v="2023"/>
  </r>
  <r>
    <x v="17"/>
    <x v="2"/>
    <x v="1"/>
    <s v="ART006"/>
    <d v="2023-08-29T00:00:00"/>
    <x v="2"/>
    <x v="4"/>
    <n v="4"/>
    <n v="47648"/>
    <n v="190592"/>
    <n v="89147"/>
    <n v="35622"/>
    <n v="65823"/>
    <n v="12"/>
    <x v="4"/>
    <s v="Tuesday"/>
    <d v="2023-08-27T00:00:00"/>
    <d v="2023-07-01T00:00:00"/>
    <x v="7"/>
    <d v="2023-08-01T00:00:00"/>
    <n v="2023"/>
  </r>
  <r>
    <x v="18"/>
    <x v="0"/>
    <x v="0"/>
    <s v="ART023"/>
    <d v="2023-06-13T00:00:00"/>
    <x v="1"/>
    <x v="4"/>
    <n v="7"/>
    <n v="19482"/>
    <n v="136374"/>
    <n v="74709"/>
    <n v="19466"/>
    <n v="42199"/>
    <n v="25"/>
    <x v="3"/>
    <s v="Tuesday"/>
    <d v="2023-06-11T00:00:00"/>
    <d v="2023-04-01T00:00:00"/>
    <x v="1"/>
    <d v="2023-06-01T00:00:00"/>
    <n v="2023"/>
  </r>
  <r>
    <x v="19"/>
    <x v="1"/>
    <x v="0"/>
    <s v="ART030"/>
    <d v="2023-01-21T00:00:00"/>
    <x v="3"/>
    <x v="1"/>
    <n v="1"/>
    <n v="5061"/>
    <n v="5061"/>
    <n v="2783"/>
    <n v="972"/>
    <n v="1306"/>
    <n v="3"/>
    <x v="1"/>
    <s v="Saturday"/>
    <d v="2023-01-15T00:00:00"/>
    <d v="2023-01-01T00:00:00"/>
    <x v="8"/>
    <d v="2023-01-01T00:00:00"/>
    <n v="2023"/>
  </r>
  <r>
    <x v="20"/>
    <x v="2"/>
    <x v="1"/>
    <s v="ART016"/>
    <d v="2023-04-21T00:00:00"/>
    <x v="3"/>
    <x v="6"/>
    <n v="8"/>
    <n v="62439"/>
    <n v="499512"/>
    <n v="244555"/>
    <n v="86321"/>
    <n v="168636"/>
    <n v="20"/>
    <x v="3"/>
    <s v="Friday"/>
    <d v="2023-04-16T00:00:00"/>
    <d v="2023-04-01T00:00:00"/>
    <x v="5"/>
    <d v="2023-04-01T00:00:00"/>
    <n v="2023"/>
  </r>
  <r>
    <x v="21"/>
    <x v="4"/>
    <x v="2"/>
    <s v="ART022"/>
    <d v="2023-08-30T00:00:00"/>
    <x v="1"/>
    <x v="5"/>
    <n v="5"/>
    <n v="15179"/>
    <n v="75895"/>
    <n v="35441"/>
    <n v="9966"/>
    <n v="30488"/>
    <n v="2"/>
    <x v="3"/>
    <s v="Wednesday"/>
    <d v="2023-08-27T00:00:00"/>
    <d v="2023-07-01T00:00:00"/>
    <x v="7"/>
    <d v="2023-08-01T00:00:00"/>
    <n v="2023"/>
  </r>
  <r>
    <x v="22"/>
    <x v="1"/>
    <x v="0"/>
    <s v="ART017"/>
    <d v="2023-03-27T00:00:00"/>
    <x v="1"/>
    <x v="2"/>
    <n v="8"/>
    <n v="20152"/>
    <n v="161216"/>
    <n v="68229"/>
    <n v="27338"/>
    <n v="65649"/>
    <n v="40"/>
    <x v="0"/>
    <s v="Monday"/>
    <d v="2023-03-26T00:00:00"/>
    <d v="2023-01-01T00:00:00"/>
    <x v="2"/>
    <d v="2023-03-01T00:00:00"/>
    <n v="2023"/>
  </r>
  <r>
    <x v="23"/>
    <x v="2"/>
    <x v="1"/>
    <s v="ART001"/>
    <d v="2023-09-10T00:00:00"/>
    <x v="2"/>
    <x v="1"/>
    <n v="1"/>
    <n v="29379"/>
    <n v="29379"/>
    <n v="17029"/>
    <n v="4570"/>
    <n v="7780"/>
    <n v="18"/>
    <x v="2"/>
    <s v="Sunday"/>
    <d v="2023-09-10T00:00:00"/>
    <d v="2023-07-01T00:00:00"/>
    <x v="9"/>
    <d v="2023-09-01T00:00:00"/>
    <n v="2023"/>
  </r>
  <r>
    <x v="24"/>
    <x v="0"/>
    <x v="0"/>
    <s v="ART018"/>
    <d v="2023-04-20T00:00:00"/>
    <x v="1"/>
    <x v="0"/>
    <n v="6"/>
    <n v="24760"/>
    <n v="148560"/>
    <n v="77126"/>
    <n v="15595"/>
    <n v="55839"/>
    <n v="25"/>
    <x v="1"/>
    <s v="Thursday"/>
    <d v="2023-04-16T00:00:00"/>
    <d v="2023-04-01T00:00:00"/>
    <x v="5"/>
    <d v="2023-04-01T00:00:00"/>
    <n v="2023"/>
  </r>
  <r>
    <x v="25"/>
    <x v="0"/>
    <x v="0"/>
    <s v="ART024"/>
    <d v="2023-05-22T00:00:00"/>
    <x v="0"/>
    <x v="6"/>
    <n v="6"/>
    <n v="8637"/>
    <n v="51822"/>
    <n v="23903"/>
    <n v="8109"/>
    <n v="19810"/>
    <n v="25"/>
    <x v="4"/>
    <s v="Monday"/>
    <d v="2023-05-21T00:00:00"/>
    <d v="2023-04-01T00:00:00"/>
    <x v="4"/>
    <d v="2023-05-01T00:00:00"/>
    <n v="2023"/>
  </r>
  <r>
    <x v="26"/>
    <x v="2"/>
    <x v="1"/>
    <s v="ART016"/>
    <d v="2023-07-10T00:00:00"/>
    <x v="2"/>
    <x v="1"/>
    <n v="3"/>
    <n v="17570"/>
    <n v="52710"/>
    <n v="23071"/>
    <n v="9185"/>
    <n v="20454"/>
    <n v="14"/>
    <x v="0"/>
    <s v="Monday"/>
    <d v="2023-07-09T00:00:00"/>
    <d v="2023-07-01T00:00:00"/>
    <x v="0"/>
    <d v="2023-07-01T00:00:00"/>
    <n v="2023"/>
  </r>
  <r>
    <x v="27"/>
    <x v="2"/>
    <x v="1"/>
    <s v="ART043"/>
    <d v="2023-02-14T00:00:00"/>
    <x v="0"/>
    <x v="4"/>
    <n v="10"/>
    <n v="5002"/>
    <n v="50020"/>
    <n v="24303"/>
    <n v="5107"/>
    <n v="20610"/>
    <n v="8"/>
    <x v="1"/>
    <s v="Tuesday"/>
    <d v="2023-02-12T00:00:00"/>
    <d v="2023-01-01T00:00:00"/>
    <x v="6"/>
    <d v="2023-02-01T00:00:00"/>
    <n v="2023"/>
  </r>
  <r>
    <x v="28"/>
    <x v="1"/>
    <x v="0"/>
    <s v="ART022"/>
    <d v="2023-07-15T00:00:00"/>
    <x v="3"/>
    <x v="1"/>
    <n v="1"/>
    <n v="54835"/>
    <n v="54835"/>
    <n v="26585"/>
    <n v="8177"/>
    <n v="20073"/>
    <n v="24"/>
    <x v="3"/>
    <s v="Saturday"/>
    <d v="2023-07-09T00:00:00"/>
    <d v="2023-07-01T00:00:00"/>
    <x v="0"/>
    <d v="2023-07-01T00:00:00"/>
    <n v="2023"/>
  </r>
  <r>
    <x v="29"/>
    <x v="4"/>
    <x v="2"/>
    <s v="ART014"/>
    <d v="2023-04-29T00:00:00"/>
    <x v="2"/>
    <x v="6"/>
    <n v="5"/>
    <n v="36251"/>
    <n v="181255"/>
    <n v="60120"/>
    <n v="18514"/>
    <n v="102621"/>
    <n v="11"/>
    <x v="0"/>
    <s v="Saturday"/>
    <d v="2023-04-23T00:00:00"/>
    <d v="2023-04-01T00:00:00"/>
    <x v="5"/>
    <d v="2023-04-01T00:00:00"/>
    <n v="2023"/>
  </r>
  <r>
    <x v="30"/>
    <x v="0"/>
    <x v="0"/>
    <s v="ART001"/>
    <d v="2023-06-26T00:00:00"/>
    <x v="3"/>
    <x v="5"/>
    <n v="4"/>
    <n v="29847"/>
    <n v="119388"/>
    <n v="68269"/>
    <n v="15212"/>
    <n v="35907"/>
    <n v="24"/>
    <x v="0"/>
    <s v="Monday"/>
    <d v="2023-06-25T00:00:00"/>
    <d v="2023-04-01T00:00:00"/>
    <x v="1"/>
    <d v="2023-06-01T00:00:00"/>
    <n v="2023"/>
  </r>
  <r>
    <x v="31"/>
    <x v="0"/>
    <x v="0"/>
    <s v="ART025"/>
    <d v="2023-10-04T00:00:00"/>
    <x v="3"/>
    <x v="0"/>
    <n v="7"/>
    <n v="58829"/>
    <n v="411803"/>
    <n v="224403"/>
    <n v="53636"/>
    <n v="133764"/>
    <n v="1"/>
    <x v="1"/>
    <s v="Wednesday"/>
    <d v="2023-10-01T00:00:00"/>
    <d v="2023-10-01T00:00:00"/>
    <x v="3"/>
    <d v="2023-10-01T00:00:00"/>
    <n v="2023"/>
  </r>
  <r>
    <x v="32"/>
    <x v="1"/>
    <x v="0"/>
    <s v="ART021"/>
    <d v="2023-07-24T00:00:00"/>
    <x v="1"/>
    <x v="2"/>
    <n v="8"/>
    <n v="5208"/>
    <n v="41664"/>
    <n v="21267"/>
    <n v="6558"/>
    <n v="13839"/>
    <n v="0"/>
    <x v="1"/>
    <s v="Monday"/>
    <d v="2023-07-23T00:00:00"/>
    <d v="2023-07-01T00:00:00"/>
    <x v="0"/>
    <d v="2023-07-01T00:00:00"/>
    <n v="2023"/>
  </r>
  <r>
    <x v="33"/>
    <x v="2"/>
    <x v="1"/>
    <s v="ART040"/>
    <d v="2023-10-13T00:00:00"/>
    <x v="1"/>
    <x v="2"/>
    <n v="2"/>
    <n v="20612"/>
    <n v="41224"/>
    <n v="18859"/>
    <n v="5885"/>
    <n v="16480"/>
    <n v="23"/>
    <x v="1"/>
    <s v="Friday"/>
    <d v="2023-10-08T00:00:00"/>
    <d v="2023-10-01T00:00:00"/>
    <x v="3"/>
    <d v="2023-10-01T00:00:00"/>
    <n v="2023"/>
  </r>
  <r>
    <x v="34"/>
    <x v="4"/>
    <x v="2"/>
    <s v="ART004"/>
    <d v="2023-09-02T00:00:00"/>
    <x v="3"/>
    <x v="0"/>
    <n v="10"/>
    <n v="26561"/>
    <n v="265610"/>
    <n v="155673"/>
    <n v="34998"/>
    <n v="74939"/>
    <n v="3"/>
    <x v="0"/>
    <s v="Saturday"/>
    <d v="2023-08-27T00:00:00"/>
    <d v="2023-07-01T00:00:00"/>
    <x v="9"/>
    <d v="2023-09-01T00:00:00"/>
    <n v="2023"/>
  </r>
  <r>
    <x v="35"/>
    <x v="2"/>
    <x v="1"/>
    <s v="ART007"/>
    <d v="2023-07-09T00:00:00"/>
    <x v="1"/>
    <x v="2"/>
    <n v="6"/>
    <n v="58650"/>
    <n v="351900"/>
    <n v="203795"/>
    <n v="67125"/>
    <n v="80980"/>
    <n v="5"/>
    <x v="2"/>
    <s v="Sunday"/>
    <d v="2023-07-09T00:00:00"/>
    <d v="2023-07-01T00:00:00"/>
    <x v="0"/>
    <d v="2023-07-01T00:00:00"/>
    <n v="2023"/>
  </r>
  <r>
    <x v="36"/>
    <x v="0"/>
    <x v="0"/>
    <s v="ART017"/>
    <d v="2023-10-03T00:00:00"/>
    <x v="0"/>
    <x v="5"/>
    <n v="7"/>
    <n v="5132"/>
    <n v="35924"/>
    <n v="15452"/>
    <n v="7159"/>
    <n v="13313"/>
    <n v="40"/>
    <x v="2"/>
    <s v="Tuesday"/>
    <d v="2023-10-01T00:00:00"/>
    <d v="2023-10-01T00:00:00"/>
    <x v="3"/>
    <d v="2023-10-01T00:00:00"/>
    <n v="2023"/>
  </r>
  <r>
    <x v="37"/>
    <x v="4"/>
    <x v="2"/>
    <s v="ART048"/>
    <d v="2023-01-18T00:00:00"/>
    <x v="0"/>
    <x v="0"/>
    <n v="6"/>
    <n v="16653"/>
    <n v="99918"/>
    <n v="59057"/>
    <n v="16557"/>
    <n v="24304"/>
    <n v="23"/>
    <x v="4"/>
    <s v="Wednesday"/>
    <d v="2023-01-15T00:00:00"/>
    <d v="2023-01-01T00:00:00"/>
    <x v="8"/>
    <d v="2023-01-01T00:00:00"/>
    <n v="2023"/>
  </r>
  <r>
    <x v="38"/>
    <x v="1"/>
    <x v="0"/>
    <s v="ART044"/>
    <d v="2023-03-13T00:00:00"/>
    <x v="2"/>
    <x v="4"/>
    <n v="9"/>
    <n v="2906"/>
    <n v="26154"/>
    <n v="8017"/>
    <n v="2643"/>
    <n v="15494"/>
    <n v="18"/>
    <x v="4"/>
    <s v="Monday"/>
    <d v="2023-03-12T00:00:00"/>
    <d v="2023-01-01T00:00:00"/>
    <x v="2"/>
    <d v="2023-03-01T00:00:00"/>
    <n v="2023"/>
  </r>
  <r>
    <x v="39"/>
    <x v="4"/>
    <x v="2"/>
    <s v="ART019"/>
    <d v="2023-01-09T00:00:00"/>
    <x v="1"/>
    <x v="3"/>
    <n v="10"/>
    <n v="48420"/>
    <n v="484200"/>
    <n v="203783"/>
    <n v="71104"/>
    <n v="209313"/>
    <n v="48"/>
    <x v="4"/>
    <s v="Monday"/>
    <d v="2023-01-08T00:00:00"/>
    <d v="2023-01-01T00:00:00"/>
    <x v="8"/>
    <d v="2023-01-01T00:00:00"/>
    <n v="2023"/>
  </r>
  <r>
    <x v="40"/>
    <x v="1"/>
    <x v="0"/>
    <s v="ART034"/>
    <d v="2023-08-14T00:00:00"/>
    <x v="0"/>
    <x v="0"/>
    <n v="10"/>
    <n v="46210"/>
    <n v="462100"/>
    <n v="213353"/>
    <n v="89408"/>
    <n v="159339"/>
    <n v="1"/>
    <x v="1"/>
    <s v="Monday"/>
    <d v="2023-08-13T00:00:00"/>
    <d v="2023-07-01T00:00:00"/>
    <x v="7"/>
    <d v="2023-08-01T00:00:00"/>
    <n v="2023"/>
  </r>
  <r>
    <x v="41"/>
    <x v="2"/>
    <x v="1"/>
    <s v="ART003"/>
    <d v="2023-09-24T00:00:00"/>
    <x v="2"/>
    <x v="1"/>
    <n v="8"/>
    <n v="11799"/>
    <n v="94392"/>
    <n v="38289"/>
    <n v="15529"/>
    <n v="40574"/>
    <n v="48"/>
    <x v="0"/>
    <s v="Sunday"/>
    <d v="2023-09-24T00:00:00"/>
    <d v="2023-07-01T00:00:00"/>
    <x v="9"/>
    <d v="2023-09-01T00:00:00"/>
    <n v="2023"/>
  </r>
  <r>
    <x v="42"/>
    <x v="4"/>
    <x v="2"/>
    <s v="ART037"/>
    <d v="2023-07-09T00:00:00"/>
    <x v="0"/>
    <x v="0"/>
    <n v="3"/>
    <n v="23232"/>
    <n v="69696"/>
    <n v="28017"/>
    <n v="12840"/>
    <n v="28839"/>
    <n v="35"/>
    <x v="0"/>
    <s v="Sunday"/>
    <d v="2023-07-09T00:00:00"/>
    <d v="2023-07-01T00:00:00"/>
    <x v="0"/>
    <d v="2023-07-01T00:00:00"/>
    <n v="2023"/>
  </r>
  <r>
    <x v="43"/>
    <x v="3"/>
    <x v="2"/>
    <s v="ART028"/>
    <d v="2023-11-19T00:00:00"/>
    <x v="1"/>
    <x v="4"/>
    <n v="10"/>
    <n v="6808"/>
    <n v="68080"/>
    <n v="20687"/>
    <n v="11717"/>
    <n v="35676"/>
    <n v="5"/>
    <x v="3"/>
    <s v="Sunday"/>
    <d v="2023-11-19T00:00:00"/>
    <d v="2023-10-01T00:00:00"/>
    <x v="10"/>
    <d v="2023-11-01T00:00:00"/>
    <n v="2023"/>
  </r>
  <r>
    <x v="44"/>
    <x v="2"/>
    <x v="1"/>
    <s v="ART032"/>
    <d v="2023-07-06T00:00:00"/>
    <x v="3"/>
    <x v="0"/>
    <n v="3"/>
    <n v="24891"/>
    <n v="74673"/>
    <n v="32570"/>
    <n v="13238"/>
    <n v="28865"/>
    <n v="16"/>
    <x v="0"/>
    <s v="Thursday"/>
    <d v="2023-07-02T00:00:00"/>
    <d v="2023-07-01T00:00:00"/>
    <x v="0"/>
    <d v="2023-07-01T00:00:00"/>
    <n v="2023"/>
  </r>
  <r>
    <x v="45"/>
    <x v="3"/>
    <x v="2"/>
    <s v="ART025"/>
    <d v="2023-03-01T00:00:00"/>
    <x v="2"/>
    <x v="0"/>
    <n v="6"/>
    <n v="26760"/>
    <n v="160560"/>
    <n v="59261"/>
    <n v="30841"/>
    <n v="70458"/>
    <n v="4"/>
    <x v="3"/>
    <s v="Wednesday"/>
    <d v="2023-02-26T00:00:00"/>
    <d v="2023-01-01T00:00:00"/>
    <x v="2"/>
    <d v="2023-03-01T00:00:00"/>
    <n v="2023"/>
  </r>
  <r>
    <x v="46"/>
    <x v="2"/>
    <x v="1"/>
    <s v="ART041"/>
    <d v="2023-07-17T00:00:00"/>
    <x v="0"/>
    <x v="3"/>
    <n v="9"/>
    <n v="38039"/>
    <n v="342351"/>
    <n v="164813"/>
    <n v="67344"/>
    <n v="110194"/>
    <n v="28"/>
    <x v="0"/>
    <s v="Monday"/>
    <d v="2023-07-16T00:00:00"/>
    <d v="2023-07-01T00:00:00"/>
    <x v="0"/>
    <d v="2023-07-01T00:00:00"/>
    <n v="2023"/>
  </r>
  <r>
    <x v="47"/>
    <x v="1"/>
    <x v="0"/>
    <s v="ART040"/>
    <d v="2023-01-09T00:00:00"/>
    <x v="0"/>
    <x v="3"/>
    <n v="8"/>
    <n v="11519"/>
    <n v="92152"/>
    <n v="33227"/>
    <n v="11520"/>
    <n v="47405"/>
    <n v="27"/>
    <x v="4"/>
    <s v="Monday"/>
    <d v="2023-01-08T00:00:00"/>
    <d v="2023-01-01T00:00:00"/>
    <x v="8"/>
    <d v="2023-01-01T00:00:00"/>
    <n v="2023"/>
  </r>
  <r>
    <x v="48"/>
    <x v="3"/>
    <x v="2"/>
    <s v="ART013"/>
    <d v="2023-09-12T00:00:00"/>
    <x v="2"/>
    <x v="1"/>
    <n v="10"/>
    <n v="46613"/>
    <n v="466130"/>
    <n v="263705"/>
    <n v="87632"/>
    <n v="114793"/>
    <n v="34"/>
    <x v="0"/>
    <s v="Tuesday"/>
    <d v="2023-09-10T00:00:00"/>
    <d v="2023-07-01T00:00:00"/>
    <x v="9"/>
    <d v="2023-09-01T00:00:00"/>
    <n v="2023"/>
  </r>
  <r>
    <x v="49"/>
    <x v="0"/>
    <x v="0"/>
    <s v="ART014"/>
    <d v="2023-06-29T00:00:00"/>
    <x v="3"/>
    <x v="0"/>
    <n v="1"/>
    <n v="27262"/>
    <n v="27262"/>
    <n v="10395"/>
    <n v="4318"/>
    <n v="12549"/>
    <n v="31"/>
    <x v="0"/>
    <s v="Thursday"/>
    <d v="2023-06-25T00:00:00"/>
    <d v="2023-04-01T00:00:00"/>
    <x v="1"/>
    <d v="2023-06-01T00:00:00"/>
    <n v="2023"/>
  </r>
  <r>
    <x v="50"/>
    <x v="3"/>
    <x v="2"/>
    <s v="ART005"/>
    <d v="2023-09-10T00:00:00"/>
    <x v="0"/>
    <x v="6"/>
    <n v="2"/>
    <n v="31432"/>
    <n v="62864"/>
    <n v="31551"/>
    <n v="10867"/>
    <n v="20446"/>
    <n v="13"/>
    <x v="4"/>
    <s v="Sunday"/>
    <d v="2023-09-10T00:00:00"/>
    <d v="2023-07-01T00:00:00"/>
    <x v="9"/>
    <d v="2023-09-01T00:00:00"/>
    <n v="2023"/>
  </r>
  <r>
    <x v="51"/>
    <x v="3"/>
    <x v="2"/>
    <s v="ART044"/>
    <d v="2023-01-11T00:00:00"/>
    <x v="0"/>
    <x v="3"/>
    <n v="3"/>
    <n v="40949"/>
    <n v="122847"/>
    <n v="50657"/>
    <n v="15750"/>
    <n v="56440"/>
    <n v="9"/>
    <x v="2"/>
    <s v="Wednesday"/>
    <d v="2023-01-08T00:00:00"/>
    <d v="2023-01-01T00:00:00"/>
    <x v="8"/>
    <d v="2023-01-01T00:00:00"/>
    <n v="2023"/>
  </r>
  <r>
    <x v="52"/>
    <x v="2"/>
    <x v="1"/>
    <s v="ART007"/>
    <d v="2023-07-11T00:00:00"/>
    <x v="2"/>
    <x v="3"/>
    <n v="4"/>
    <n v="22444"/>
    <n v="89776"/>
    <n v="39595"/>
    <n v="12762"/>
    <n v="37419"/>
    <n v="36"/>
    <x v="4"/>
    <s v="Tuesday"/>
    <d v="2023-07-09T00:00:00"/>
    <d v="2023-07-01T00:00:00"/>
    <x v="0"/>
    <d v="2023-07-01T00:00:00"/>
    <n v="2023"/>
  </r>
  <r>
    <x v="53"/>
    <x v="1"/>
    <x v="0"/>
    <s v="ART047"/>
    <d v="2023-05-10T00:00:00"/>
    <x v="1"/>
    <x v="0"/>
    <n v="7"/>
    <n v="5302"/>
    <n v="37114"/>
    <n v="22078"/>
    <n v="4998"/>
    <n v="10038"/>
    <n v="11"/>
    <x v="0"/>
    <s v="Wednesday"/>
    <d v="2023-05-07T00:00:00"/>
    <d v="2023-04-01T00:00:00"/>
    <x v="4"/>
    <d v="2023-05-01T00:00:00"/>
    <n v="2023"/>
  </r>
  <r>
    <x v="54"/>
    <x v="2"/>
    <x v="1"/>
    <s v="ART002"/>
    <d v="2023-04-21T00:00:00"/>
    <x v="2"/>
    <x v="6"/>
    <n v="10"/>
    <n v="22104"/>
    <n v="221040"/>
    <n v="119802"/>
    <n v="43931"/>
    <n v="57307"/>
    <n v="22"/>
    <x v="0"/>
    <s v="Friday"/>
    <d v="2023-04-16T00:00:00"/>
    <d v="2023-04-01T00:00:00"/>
    <x v="5"/>
    <d v="2023-04-01T00:00:00"/>
    <n v="2023"/>
  </r>
  <r>
    <x v="55"/>
    <x v="3"/>
    <x v="2"/>
    <s v="ART018"/>
    <d v="2023-11-12T00:00:00"/>
    <x v="1"/>
    <x v="1"/>
    <n v="6"/>
    <n v="32989"/>
    <n v="197934"/>
    <n v="114430"/>
    <n v="33863"/>
    <n v="49641"/>
    <n v="16"/>
    <x v="2"/>
    <s v="Sunday"/>
    <d v="2023-11-12T00:00:00"/>
    <d v="2023-10-01T00:00:00"/>
    <x v="10"/>
    <d v="2023-11-01T00:00:00"/>
    <n v="2023"/>
  </r>
  <r>
    <x v="56"/>
    <x v="3"/>
    <x v="2"/>
    <s v="ART037"/>
    <d v="2023-09-07T00:00:00"/>
    <x v="1"/>
    <x v="2"/>
    <n v="3"/>
    <n v="3580"/>
    <n v="10740"/>
    <n v="3303"/>
    <n v="2110"/>
    <n v="5327"/>
    <n v="24"/>
    <x v="2"/>
    <s v="Thursday"/>
    <d v="2023-09-03T00:00:00"/>
    <d v="2023-07-01T00:00:00"/>
    <x v="9"/>
    <d v="2023-09-01T00:00:00"/>
    <n v="2023"/>
  </r>
  <r>
    <x v="57"/>
    <x v="0"/>
    <x v="0"/>
    <s v="ART041"/>
    <d v="2023-05-15T00:00:00"/>
    <x v="1"/>
    <x v="4"/>
    <n v="3"/>
    <n v="36452"/>
    <n v="109356"/>
    <n v="50856"/>
    <n v="15341"/>
    <n v="43159"/>
    <n v="3"/>
    <x v="3"/>
    <s v="Monday"/>
    <d v="2023-05-14T00:00:00"/>
    <d v="2023-04-01T00:00:00"/>
    <x v="4"/>
    <d v="2023-05-01T00:00:00"/>
    <n v="2023"/>
  </r>
  <r>
    <x v="58"/>
    <x v="4"/>
    <x v="2"/>
    <s v="ART016"/>
    <d v="2023-10-20T00:00:00"/>
    <x v="0"/>
    <x v="2"/>
    <n v="6"/>
    <n v="56558"/>
    <n v="339348"/>
    <n v="145337"/>
    <n v="42901"/>
    <n v="151110"/>
    <n v="44"/>
    <x v="3"/>
    <s v="Friday"/>
    <d v="2023-10-15T00:00:00"/>
    <d v="2023-10-01T00:00:00"/>
    <x v="3"/>
    <d v="2023-10-01T00:00:00"/>
    <n v="2023"/>
  </r>
  <r>
    <x v="59"/>
    <x v="1"/>
    <x v="0"/>
    <s v="ART001"/>
    <d v="2023-01-31T00:00:00"/>
    <x v="3"/>
    <x v="4"/>
    <n v="5"/>
    <n v="3942"/>
    <n v="19710"/>
    <n v="8855"/>
    <n v="3301"/>
    <n v="7554"/>
    <n v="22"/>
    <x v="0"/>
    <s v="Tuesday"/>
    <d v="2023-01-29T00:00:00"/>
    <d v="2023-01-01T00:00:00"/>
    <x v="8"/>
    <d v="2023-01-01T00:00:00"/>
    <n v="2023"/>
  </r>
  <r>
    <x v="60"/>
    <x v="3"/>
    <x v="2"/>
    <s v="ART047"/>
    <d v="2023-06-22T00:00:00"/>
    <x v="1"/>
    <x v="4"/>
    <n v="2"/>
    <n v="49158"/>
    <n v="98316"/>
    <n v="38006"/>
    <n v="19398"/>
    <n v="40912"/>
    <n v="35"/>
    <x v="1"/>
    <s v="Thursday"/>
    <d v="2023-06-18T00:00:00"/>
    <d v="2023-04-01T00:00:00"/>
    <x v="1"/>
    <d v="2023-06-01T00:00:00"/>
    <n v="2023"/>
  </r>
  <r>
    <x v="61"/>
    <x v="2"/>
    <x v="1"/>
    <s v="ART002"/>
    <d v="2023-06-12T00:00:00"/>
    <x v="0"/>
    <x v="0"/>
    <n v="3"/>
    <n v="13285"/>
    <n v="39855"/>
    <n v="17770"/>
    <n v="4662"/>
    <n v="17423"/>
    <n v="43"/>
    <x v="3"/>
    <s v="Monday"/>
    <d v="2023-06-11T00:00:00"/>
    <d v="2023-04-01T00:00:00"/>
    <x v="1"/>
    <d v="2023-06-01T00:00:00"/>
    <n v="2023"/>
  </r>
  <r>
    <x v="62"/>
    <x v="0"/>
    <x v="0"/>
    <s v="ART049"/>
    <d v="2023-03-23T00:00:00"/>
    <x v="1"/>
    <x v="0"/>
    <n v="1"/>
    <n v="50051"/>
    <n v="50051"/>
    <n v="19291"/>
    <n v="8255"/>
    <n v="22505"/>
    <n v="13"/>
    <x v="2"/>
    <s v="Thursday"/>
    <d v="2023-03-19T00:00:00"/>
    <d v="2023-01-01T00:00:00"/>
    <x v="2"/>
    <d v="2023-03-01T00:00:00"/>
    <n v="2023"/>
  </r>
  <r>
    <x v="63"/>
    <x v="0"/>
    <x v="0"/>
    <s v="ART022"/>
    <d v="2023-11-08T00:00:00"/>
    <x v="3"/>
    <x v="0"/>
    <n v="8"/>
    <n v="52208"/>
    <n v="417664"/>
    <n v="155577"/>
    <n v="62435"/>
    <n v="199652"/>
    <n v="25"/>
    <x v="4"/>
    <s v="Wednesday"/>
    <d v="2023-11-05T00:00:00"/>
    <d v="2023-10-01T00:00:00"/>
    <x v="10"/>
    <d v="2023-11-01T00:00:00"/>
    <n v="2023"/>
  </r>
  <r>
    <x v="64"/>
    <x v="1"/>
    <x v="0"/>
    <s v="ART014"/>
    <d v="2023-02-01T00:00:00"/>
    <x v="1"/>
    <x v="4"/>
    <n v="2"/>
    <n v="62451"/>
    <n v="124902"/>
    <n v="47898"/>
    <n v="16181"/>
    <n v="60823"/>
    <n v="47"/>
    <x v="4"/>
    <s v="Wednesday"/>
    <d v="2023-01-29T00:00:00"/>
    <d v="2023-01-01T00:00:00"/>
    <x v="6"/>
    <d v="2023-02-01T00:00:00"/>
    <n v="2023"/>
  </r>
  <r>
    <x v="65"/>
    <x v="3"/>
    <x v="2"/>
    <s v="ART007"/>
    <d v="2023-04-03T00:00:00"/>
    <x v="3"/>
    <x v="6"/>
    <n v="5"/>
    <n v="39436"/>
    <n v="197180"/>
    <n v="87435"/>
    <n v="27332"/>
    <n v="82413"/>
    <n v="8"/>
    <x v="3"/>
    <s v="Monday"/>
    <d v="2023-04-02T00:00:00"/>
    <d v="2023-04-01T00:00:00"/>
    <x v="5"/>
    <d v="2023-04-01T00:00:00"/>
    <n v="2023"/>
  </r>
  <r>
    <x v="66"/>
    <x v="0"/>
    <x v="0"/>
    <s v="ART011"/>
    <d v="2023-08-02T00:00:00"/>
    <x v="3"/>
    <x v="3"/>
    <n v="1"/>
    <n v="48181"/>
    <n v="48181"/>
    <n v="27815"/>
    <n v="7635"/>
    <n v="12731"/>
    <n v="0"/>
    <x v="0"/>
    <s v="Wednesday"/>
    <d v="2023-07-30T00:00:00"/>
    <d v="2023-07-01T00:00:00"/>
    <x v="7"/>
    <d v="2023-08-01T00:00:00"/>
    <n v="2023"/>
  </r>
  <r>
    <x v="67"/>
    <x v="0"/>
    <x v="0"/>
    <s v="ART030"/>
    <d v="2023-02-11T00:00:00"/>
    <x v="2"/>
    <x v="4"/>
    <n v="2"/>
    <n v="45845"/>
    <n v="91690"/>
    <n v="42283"/>
    <n v="16086"/>
    <n v="33321"/>
    <n v="5"/>
    <x v="4"/>
    <s v="Saturday"/>
    <d v="2023-02-05T00:00:00"/>
    <d v="2023-01-01T00:00:00"/>
    <x v="6"/>
    <d v="2023-02-01T00:00:00"/>
    <n v="2023"/>
  </r>
  <r>
    <x v="68"/>
    <x v="3"/>
    <x v="2"/>
    <s v="ART037"/>
    <d v="2023-01-26T00:00:00"/>
    <x v="3"/>
    <x v="0"/>
    <n v="1"/>
    <n v="35573"/>
    <n v="35573"/>
    <n v="15949"/>
    <n v="4259"/>
    <n v="15365"/>
    <n v="50"/>
    <x v="0"/>
    <s v="Thursday"/>
    <d v="2023-01-22T00:00:00"/>
    <d v="2023-01-01T00:00:00"/>
    <x v="8"/>
    <d v="2023-01-01T00:00:00"/>
    <n v="2023"/>
  </r>
  <r>
    <x v="69"/>
    <x v="2"/>
    <x v="1"/>
    <s v="ART045"/>
    <d v="2023-03-22T00:00:00"/>
    <x v="3"/>
    <x v="4"/>
    <n v="7"/>
    <n v="34297"/>
    <n v="240079"/>
    <n v="137458"/>
    <n v="40498"/>
    <n v="62123"/>
    <n v="43"/>
    <x v="0"/>
    <s v="Wednesday"/>
    <d v="2023-03-19T00:00:00"/>
    <d v="2023-01-01T00:00:00"/>
    <x v="2"/>
    <d v="2023-03-01T00:00:00"/>
    <n v="2023"/>
  </r>
  <r>
    <x v="70"/>
    <x v="2"/>
    <x v="1"/>
    <s v="ART030"/>
    <d v="2023-01-19T00:00:00"/>
    <x v="2"/>
    <x v="1"/>
    <n v="7"/>
    <n v="8612"/>
    <n v="60284"/>
    <n v="32454"/>
    <n v="7524"/>
    <n v="20306"/>
    <n v="25"/>
    <x v="1"/>
    <s v="Thursday"/>
    <d v="2023-01-15T00:00:00"/>
    <d v="2023-01-01T00:00:00"/>
    <x v="8"/>
    <d v="2023-01-01T00:00:00"/>
    <n v="2023"/>
  </r>
  <r>
    <x v="71"/>
    <x v="3"/>
    <x v="2"/>
    <s v="ART020"/>
    <d v="2023-06-11T00:00:00"/>
    <x v="3"/>
    <x v="6"/>
    <n v="1"/>
    <n v="42523"/>
    <n v="42523"/>
    <n v="20762"/>
    <n v="5705"/>
    <n v="16056"/>
    <n v="37"/>
    <x v="3"/>
    <s v="Sunday"/>
    <d v="2023-06-11T00:00:00"/>
    <d v="2023-04-01T00:00:00"/>
    <x v="1"/>
    <d v="2023-06-01T00:00:00"/>
    <n v="2023"/>
  </r>
  <r>
    <x v="72"/>
    <x v="0"/>
    <x v="0"/>
    <s v="ART046"/>
    <d v="2023-09-24T00:00:00"/>
    <x v="1"/>
    <x v="1"/>
    <n v="8"/>
    <n v="38013"/>
    <n v="304104"/>
    <n v="115356"/>
    <n v="31958"/>
    <n v="156790"/>
    <n v="7"/>
    <x v="4"/>
    <s v="Sunday"/>
    <d v="2023-09-24T00:00:00"/>
    <d v="2023-07-01T00:00:00"/>
    <x v="9"/>
    <d v="2023-09-01T00:00:00"/>
    <n v="2023"/>
  </r>
  <r>
    <x v="73"/>
    <x v="4"/>
    <x v="2"/>
    <s v="ART041"/>
    <d v="2023-08-24T00:00:00"/>
    <x v="3"/>
    <x v="5"/>
    <n v="2"/>
    <n v="15725"/>
    <n v="31450"/>
    <n v="11295"/>
    <n v="3608"/>
    <n v="16547"/>
    <n v="21"/>
    <x v="1"/>
    <s v="Thursday"/>
    <d v="2023-08-20T00:00:00"/>
    <d v="2023-07-01T00:00:00"/>
    <x v="7"/>
    <d v="2023-08-01T00:00:00"/>
    <n v="2023"/>
  </r>
  <r>
    <x v="74"/>
    <x v="3"/>
    <x v="2"/>
    <s v="ART046"/>
    <d v="2023-09-28T00:00:00"/>
    <x v="3"/>
    <x v="2"/>
    <n v="9"/>
    <n v="10664"/>
    <n v="95976"/>
    <n v="47332"/>
    <n v="14712"/>
    <n v="33932"/>
    <n v="29"/>
    <x v="4"/>
    <s v="Thursday"/>
    <d v="2023-09-24T00:00:00"/>
    <d v="2023-07-01T00:00:00"/>
    <x v="9"/>
    <d v="2023-09-01T00:00:00"/>
    <n v="2023"/>
  </r>
  <r>
    <x v="75"/>
    <x v="0"/>
    <x v="0"/>
    <s v="ART016"/>
    <d v="2023-06-21T00:00:00"/>
    <x v="1"/>
    <x v="0"/>
    <n v="4"/>
    <n v="7152"/>
    <n v="28608"/>
    <n v="15807"/>
    <n v="3700"/>
    <n v="9101"/>
    <n v="32"/>
    <x v="3"/>
    <s v="Wednesday"/>
    <d v="2023-06-18T00:00:00"/>
    <d v="2023-04-01T00:00:00"/>
    <x v="1"/>
    <d v="2023-06-01T00:00:00"/>
    <n v="2023"/>
  </r>
  <r>
    <x v="76"/>
    <x v="4"/>
    <x v="2"/>
    <s v="ART045"/>
    <d v="2023-03-15T00:00:00"/>
    <x v="3"/>
    <x v="5"/>
    <n v="3"/>
    <n v="12276"/>
    <n v="36828"/>
    <n v="21168"/>
    <n v="3797"/>
    <n v="11863"/>
    <n v="8"/>
    <x v="0"/>
    <s v="Wednesday"/>
    <d v="2023-03-12T00:00:00"/>
    <d v="2023-01-01T00:00:00"/>
    <x v="2"/>
    <d v="2023-03-01T00:00:00"/>
    <n v="2023"/>
  </r>
  <r>
    <x v="77"/>
    <x v="3"/>
    <x v="2"/>
    <s v="ART021"/>
    <d v="2023-05-24T00:00:00"/>
    <x v="0"/>
    <x v="6"/>
    <n v="9"/>
    <n v="38772"/>
    <n v="348948"/>
    <n v="124264"/>
    <n v="69478"/>
    <n v="155206"/>
    <n v="25"/>
    <x v="0"/>
    <s v="Wednesday"/>
    <d v="2023-05-21T00:00:00"/>
    <d v="2023-04-01T00:00:00"/>
    <x v="4"/>
    <d v="2023-05-01T00:00:00"/>
    <n v="2023"/>
  </r>
  <r>
    <x v="78"/>
    <x v="4"/>
    <x v="2"/>
    <s v="ART005"/>
    <d v="2023-11-07T00:00:00"/>
    <x v="0"/>
    <x v="5"/>
    <n v="7"/>
    <n v="50305"/>
    <n v="352135"/>
    <n v="161849"/>
    <n v="69943"/>
    <n v="120343"/>
    <n v="1"/>
    <x v="2"/>
    <s v="Tuesday"/>
    <d v="2023-11-05T00:00:00"/>
    <d v="2023-10-01T00:00:00"/>
    <x v="10"/>
    <d v="2023-11-01T00:00:00"/>
    <n v="2023"/>
  </r>
  <r>
    <x v="79"/>
    <x v="1"/>
    <x v="0"/>
    <s v="ART005"/>
    <d v="2023-10-24T00:00:00"/>
    <x v="0"/>
    <x v="6"/>
    <n v="2"/>
    <n v="16632"/>
    <n v="33264"/>
    <n v="15761"/>
    <n v="5649"/>
    <n v="11854"/>
    <n v="0"/>
    <x v="0"/>
    <s v="Tuesday"/>
    <d v="2023-10-22T00:00:00"/>
    <d v="2023-10-01T00:00:00"/>
    <x v="3"/>
    <d v="2023-10-01T00:00:00"/>
    <n v="2023"/>
  </r>
  <r>
    <x v="80"/>
    <x v="3"/>
    <x v="2"/>
    <s v="ART050"/>
    <d v="2023-01-19T00:00:00"/>
    <x v="3"/>
    <x v="5"/>
    <n v="9"/>
    <n v="40978"/>
    <n v="368802"/>
    <n v="157322"/>
    <n v="41678"/>
    <n v="169802"/>
    <n v="29"/>
    <x v="3"/>
    <s v="Thursday"/>
    <d v="2023-01-15T00:00:00"/>
    <d v="2023-01-01T00:00:00"/>
    <x v="8"/>
    <d v="2023-01-01T00:00:00"/>
    <n v="2023"/>
  </r>
  <r>
    <x v="81"/>
    <x v="0"/>
    <x v="0"/>
    <s v="ART046"/>
    <d v="2023-05-31T00:00:00"/>
    <x v="1"/>
    <x v="2"/>
    <n v="10"/>
    <n v="69847"/>
    <n v="698470"/>
    <n v="228747"/>
    <n v="134614"/>
    <n v="335109"/>
    <n v="2"/>
    <x v="1"/>
    <s v="Wednesday"/>
    <d v="2023-05-28T00:00:00"/>
    <d v="2023-04-01T00:00:00"/>
    <x v="4"/>
    <d v="2023-05-01T00:00:00"/>
    <n v="2023"/>
  </r>
  <r>
    <x v="82"/>
    <x v="3"/>
    <x v="2"/>
    <s v="ART039"/>
    <d v="2023-06-09T00:00:00"/>
    <x v="1"/>
    <x v="5"/>
    <n v="6"/>
    <n v="61716"/>
    <n v="370296"/>
    <n v="205665"/>
    <n v="55145"/>
    <n v="109486"/>
    <n v="44"/>
    <x v="3"/>
    <s v="Friday"/>
    <d v="2023-06-04T00:00:00"/>
    <d v="2023-04-01T00:00:00"/>
    <x v="1"/>
    <d v="2023-06-01T00:00:00"/>
    <n v="2023"/>
  </r>
  <r>
    <x v="83"/>
    <x v="4"/>
    <x v="2"/>
    <s v="ART035"/>
    <d v="2023-10-04T00:00:00"/>
    <x v="3"/>
    <x v="1"/>
    <n v="7"/>
    <n v="63460"/>
    <n v="444220"/>
    <n v="224977"/>
    <n v="85284"/>
    <n v="133959"/>
    <n v="21"/>
    <x v="0"/>
    <s v="Wednesday"/>
    <d v="2023-10-01T00:00:00"/>
    <d v="2023-10-01T00:00:00"/>
    <x v="3"/>
    <d v="2023-10-01T00:00:00"/>
    <n v="2023"/>
  </r>
  <r>
    <x v="84"/>
    <x v="4"/>
    <x v="2"/>
    <s v="ART026"/>
    <d v="2023-10-06T00:00:00"/>
    <x v="3"/>
    <x v="4"/>
    <n v="10"/>
    <n v="37536"/>
    <n v="375360"/>
    <n v="118394"/>
    <n v="62290"/>
    <n v="194676"/>
    <n v="33"/>
    <x v="4"/>
    <s v="Friday"/>
    <d v="2023-10-01T00:00:00"/>
    <d v="2023-10-01T00:00:00"/>
    <x v="3"/>
    <d v="2023-10-01T00:00:00"/>
    <n v="2023"/>
  </r>
  <r>
    <x v="85"/>
    <x v="0"/>
    <x v="0"/>
    <s v="ART040"/>
    <d v="2023-03-01T00:00:00"/>
    <x v="0"/>
    <x v="5"/>
    <n v="5"/>
    <n v="37624"/>
    <n v="188120"/>
    <n v="90953"/>
    <n v="20099"/>
    <n v="77068"/>
    <n v="24"/>
    <x v="3"/>
    <s v="Wednesday"/>
    <d v="2023-02-26T00:00:00"/>
    <d v="2023-01-01T00:00:00"/>
    <x v="2"/>
    <d v="2023-03-01T00:00:00"/>
    <n v="2023"/>
  </r>
  <r>
    <x v="86"/>
    <x v="3"/>
    <x v="2"/>
    <s v="ART004"/>
    <d v="2023-04-13T00:00:00"/>
    <x v="2"/>
    <x v="2"/>
    <n v="9"/>
    <n v="6532"/>
    <n v="58788"/>
    <n v="17761"/>
    <n v="8030"/>
    <n v="32997"/>
    <n v="49"/>
    <x v="0"/>
    <s v="Thursday"/>
    <d v="2023-04-09T00:00:00"/>
    <d v="2023-04-01T00:00:00"/>
    <x v="5"/>
    <d v="2023-04-01T00:00:00"/>
    <n v="2023"/>
  </r>
  <r>
    <x v="87"/>
    <x v="0"/>
    <x v="0"/>
    <s v="ART023"/>
    <d v="2023-06-22T00:00:00"/>
    <x v="1"/>
    <x v="0"/>
    <n v="6"/>
    <n v="27227"/>
    <n v="163362"/>
    <n v="93870"/>
    <n v="27481"/>
    <n v="42011"/>
    <n v="40"/>
    <x v="4"/>
    <s v="Thursday"/>
    <d v="2023-06-18T00:00:00"/>
    <d v="2023-04-01T00:00:00"/>
    <x v="1"/>
    <d v="2023-06-01T00:00:00"/>
    <n v="2023"/>
  </r>
  <r>
    <x v="88"/>
    <x v="4"/>
    <x v="2"/>
    <s v="ART023"/>
    <d v="2023-09-12T00:00:00"/>
    <x v="2"/>
    <x v="1"/>
    <n v="9"/>
    <n v="4631"/>
    <n v="41679"/>
    <n v="22583"/>
    <n v="4963"/>
    <n v="14133"/>
    <n v="0"/>
    <x v="3"/>
    <s v="Tuesday"/>
    <d v="2023-09-10T00:00:00"/>
    <d v="2023-07-01T00:00:00"/>
    <x v="9"/>
    <d v="2023-09-01T00:00:00"/>
    <n v="2023"/>
  </r>
  <r>
    <x v="89"/>
    <x v="2"/>
    <x v="1"/>
    <s v="ART029"/>
    <d v="2023-10-19T00:00:00"/>
    <x v="2"/>
    <x v="2"/>
    <n v="1"/>
    <n v="5822"/>
    <n v="5822"/>
    <n v="2644"/>
    <n v="1103"/>
    <n v="2075"/>
    <n v="12"/>
    <x v="1"/>
    <s v="Thursday"/>
    <d v="2023-10-15T00:00:00"/>
    <d v="2023-10-01T00:00:00"/>
    <x v="3"/>
    <d v="2023-10-01T00:00:00"/>
    <n v="2023"/>
  </r>
  <r>
    <x v="90"/>
    <x v="3"/>
    <x v="2"/>
    <s v="ART015"/>
    <d v="2023-11-07T00:00:00"/>
    <x v="1"/>
    <x v="4"/>
    <n v="1"/>
    <n v="3153"/>
    <n v="3153"/>
    <n v="1351"/>
    <n v="401"/>
    <n v="1401"/>
    <n v="3"/>
    <x v="1"/>
    <s v="Tuesday"/>
    <d v="2023-11-05T00:00:00"/>
    <d v="2023-10-01T00:00:00"/>
    <x v="10"/>
    <d v="2023-11-01T00:00:00"/>
    <n v="2023"/>
  </r>
  <r>
    <x v="91"/>
    <x v="3"/>
    <x v="2"/>
    <s v="ART013"/>
    <d v="2023-01-12T00:00:00"/>
    <x v="0"/>
    <x v="3"/>
    <n v="7"/>
    <n v="6381"/>
    <n v="44667"/>
    <n v="19527"/>
    <n v="8794"/>
    <n v="16346"/>
    <n v="28"/>
    <x v="1"/>
    <s v="Thursday"/>
    <d v="2023-01-08T00:00:00"/>
    <d v="2023-01-01T00:00:00"/>
    <x v="8"/>
    <d v="2023-01-01T00:00:00"/>
    <n v="2023"/>
  </r>
  <r>
    <x v="92"/>
    <x v="3"/>
    <x v="2"/>
    <s v="ART024"/>
    <d v="2023-05-15T00:00:00"/>
    <x v="2"/>
    <x v="0"/>
    <n v="6"/>
    <n v="49724"/>
    <n v="298344"/>
    <n v="161927"/>
    <n v="38107"/>
    <n v="98310"/>
    <n v="15"/>
    <x v="4"/>
    <s v="Monday"/>
    <d v="2023-05-14T00:00:00"/>
    <d v="2023-04-01T00:00:00"/>
    <x v="4"/>
    <d v="2023-05-01T00:00:00"/>
    <n v="2023"/>
  </r>
  <r>
    <x v="93"/>
    <x v="4"/>
    <x v="2"/>
    <s v="ART032"/>
    <d v="2023-04-26T00:00:00"/>
    <x v="3"/>
    <x v="4"/>
    <n v="5"/>
    <n v="7135"/>
    <n v="35675"/>
    <n v="15949"/>
    <n v="4274"/>
    <n v="15452"/>
    <n v="20"/>
    <x v="1"/>
    <s v="Wednesday"/>
    <d v="2023-04-23T00:00:00"/>
    <d v="2023-04-01T00:00:00"/>
    <x v="5"/>
    <d v="2023-04-01T00:00:00"/>
    <n v="2023"/>
  </r>
  <r>
    <x v="94"/>
    <x v="3"/>
    <x v="2"/>
    <s v="ART024"/>
    <d v="2023-11-01T00:00:00"/>
    <x v="0"/>
    <x v="0"/>
    <n v="4"/>
    <n v="47458"/>
    <n v="189832"/>
    <n v="58792"/>
    <n v="22847"/>
    <n v="108193"/>
    <n v="43"/>
    <x v="4"/>
    <s v="Wednesday"/>
    <d v="2023-10-29T00:00:00"/>
    <d v="2023-10-01T00:00:00"/>
    <x v="10"/>
    <d v="2023-11-01T00:00:00"/>
    <n v="2023"/>
  </r>
  <r>
    <x v="95"/>
    <x v="3"/>
    <x v="2"/>
    <s v="ART049"/>
    <d v="2023-02-05T00:00:00"/>
    <x v="3"/>
    <x v="5"/>
    <n v="6"/>
    <n v="58643"/>
    <n v="351858"/>
    <n v="173603"/>
    <n v="47258"/>
    <n v="130997"/>
    <n v="50"/>
    <x v="4"/>
    <s v="Sunday"/>
    <d v="2023-02-05T00:00:00"/>
    <d v="2023-01-01T00:00:00"/>
    <x v="6"/>
    <d v="2023-02-01T00:00:00"/>
    <n v="2023"/>
  </r>
  <r>
    <x v="96"/>
    <x v="4"/>
    <x v="2"/>
    <s v="ART041"/>
    <d v="2023-06-11T00:00:00"/>
    <x v="1"/>
    <x v="1"/>
    <n v="1"/>
    <n v="11703"/>
    <n v="11703"/>
    <n v="5700"/>
    <n v="1550"/>
    <n v="4453"/>
    <n v="16"/>
    <x v="0"/>
    <s v="Sunday"/>
    <d v="2023-06-11T00:00:00"/>
    <d v="2023-04-01T00:00:00"/>
    <x v="1"/>
    <d v="2023-06-01T00:00:00"/>
    <n v="2023"/>
  </r>
  <r>
    <x v="97"/>
    <x v="4"/>
    <x v="2"/>
    <s v="ART031"/>
    <d v="2023-11-05T00:00:00"/>
    <x v="3"/>
    <x v="0"/>
    <n v="8"/>
    <n v="56189"/>
    <n v="449512"/>
    <n v="221552"/>
    <n v="60984"/>
    <n v="166976"/>
    <n v="16"/>
    <x v="4"/>
    <s v="Sunday"/>
    <d v="2023-11-05T00:00:00"/>
    <d v="2023-10-01T00:00:00"/>
    <x v="10"/>
    <d v="2023-11-01T00:00:00"/>
    <n v="2023"/>
  </r>
  <r>
    <x v="98"/>
    <x v="2"/>
    <x v="1"/>
    <s v="ART001"/>
    <d v="2023-03-27T00:00:00"/>
    <x v="0"/>
    <x v="0"/>
    <n v="8"/>
    <n v="4424"/>
    <n v="35392"/>
    <n v="14641"/>
    <n v="5588"/>
    <n v="15163"/>
    <n v="20"/>
    <x v="1"/>
    <s v="Monday"/>
    <d v="2023-03-26T00:00:00"/>
    <d v="2023-01-01T00:00:00"/>
    <x v="2"/>
    <d v="2023-03-01T00:00:00"/>
    <n v="2023"/>
  </r>
  <r>
    <x v="99"/>
    <x v="1"/>
    <x v="0"/>
    <s v="ART046"/>
    <d v="2023-08-21T00:00:00"/>
    <x v="2"/>
    <x v="6"/>
    <n v="3"/>
    <n v="42223"/>
    <n v="126669"/>
    <n v="49928"/>
    <n v="17703"/>
    <n v="59038"/>
    <n v="9"/>
    <x v="0"/>
    <s v="Monday"/>
    <d v="2023-08-20T00:00:00"/>
    <d v="2023-07-01T00:00:00"/>
    <x v="7"/>
    <d v="2023-08-01T00:00:00"/>
    <n v="2023"/>
  </r>
  <r>
    <x v="100"/>
    <x v="2"/>
    <x v="1"/>
    <s v="ART027"/>
    <d v="2023-04-16T00:00:00"/>
    <x v="1"/>
    <x v="2"/>
    <n v="4"/>
    <n v="39322"/>
    <n v="157288"/>
    <n v="74519"/>
    <n v="24774"/>
    <n v="57995"/>
    <n v="23"/>
    <x v="0"/>
    <s v="Sunday"/>
    <d v="2023-04-16T00:00:00"/>
    <d v="2023-04-01T00:00:00"/>
    <x v="5"/>
    <d v="2023-04-01T00:00:00"/>
    <n v="2023"/>
  </r>
  <r>
    <x v="101"/>
    <x v="1"/>
    <x v="0"/>
    <s v="ART005"/>
    <d v="2023-08-18T00:00:00"/>
    <x v="0"/>
    <x v="2"/>
    <n v="2"/>
    <n v="40843"/>
    <n v="81686"/>
    <n v="26267"/>
    <n v="15631"/>
    <n v="39788"/>
    <n v="37"/>
    <x v="4"/>
    <s v="Friday"/>
    <d v="2023-08-13T00:00:00"/>
    <d v="2023-07-01T00:00:00"/>
    <x v="7"/>
    <d v="2023-08-01T00:00:00"/>
    <n v="2023"/>
  </r>
  <r>
    <x v="102"/>
    <x v="4"/>
    <x v="2"/>
    <s v="ART041"/>
    <d v="2023-09-13T00:00:00"/>
    <x v="0"/>
    <x v="5"/>
    <n v="8"/>
    <n v="29815"/>
    <n v="238520"/>
    <n v="130038"/>
    <n v="33762"/>
    <n v="74720"/>
    <n v="37"/>
    <x v="1"/>
    <s v="Wednesday"/>
    <d v="2023-09-10T00:00:00"/>
    <d v="2023-07-01T00:00:00"/>
    <x v="9"/>
    <d v="2023-09-01T00:00:00"/>
    <n v="2023"/>
  </r>
  <r>
    <x v="103"/>
    <x v="4"/>
    <x v="2"/>
    <s v="ART040"/>
    <d v="2023-10-11T00:00:00"/>
    <x v="2"/>
    <x v="0"/>
    <n v="4"/>
    <n v="61190"/>
    <n v="244760"/>
    <n v="136800"/>
    <n v="47006"/>
    <n v="60954"/>
    <n v="11"/>
    <x v="0"/>
    <s v="Wednesday"/>
    <d v="2023-10-08T00:00:00"/>
    <d v="2023-10-01T00:00:00"/>
    <x v="3"/>
    <d v="2023-10-01T00:00:00"/>
    <n v="2023"/>
  </r>
  <r>
    <x v="104"/>
    <x v="4"/>
    <x v="2"/>
    <s v="ART006"/>
    <d v="2023-05-03T00:00:00"/>
    <x v="0"/>
    <x v="1"/>
    <n v="2"/>
    <n v="45485"/>
    <n v="90970"/>
    <n v="47002"/>
    <n v="15661"/>
    <n v="28307"/>
    <n v="37"/>
    <x v="4"/>
    <s v="Wednesday"/>
    <d v="2023-04-30T00:00:00"/>
    <d v="2023-04-01T00:00:00"/>
    <x v="4"/>
    <d v="2023-05-01T00:00:00"/>
    <n v="2023"/>
  </r>
  <r>
    <x v="105"/>
    <x v="4"/>
    <x v="2"/>
    <s v="ART004"/>
    <d v="2023-06-22T00:00:00"/>
    <x v="0"/>
    <x v="0"/>
    <n v="8"/>
    <n v="28188"/>
    <n v="225504"/>
    <n v="95364"/>
    <n v="26698"/>
    <n v="103442"/>
    <n v="36"/>
    <x v="2"/>
    <s v="Thursday"/>
    <d v="2023-06-18T00:00:00"/>
    <d v="2023-04-01T00:00:00"/>
    <x v="1"/>
    <d v="2023-06-01T00:00:00"/>
    <n v="2023"/>
  </r>
  <r>
    <x v="106"/>
    <x v="1"/>
    <x v="0"/>
    <s v="ART049"/>
    <d v="2023-10-19T00:00:00"/>
    <x v="3"/>
    <x v="0"/>
    <n v="6"/>
    <n v="14197"/>
    <n v="85182"/>
    <n v="43707"/>
    <n v="9397"/>
    <n v="32078"/>
    <n v="4"/>
    <x v="2"/>
    <s v="Thursday"/>
    <d v="2023-10-15T00:00:00"/>
    <d v="2023-10-01T00:00:00"/>
    <x v="3"/>
    <d v="2023-10-01T00:00:00"/>
    <n v="2023"/>
  </r>
  <r>
    <x v="107"/>
    <x v="0"/>
    <x v="0"/>
    <s v="ART038"/>
    <d v="2023-06-23T00:00:00"/>
    <x v="3"/>
    <x v="6"/>
    <n v="2"/>
    <n v="55606"/>
    <n v="111212"/>
    <n v="59736"/>
    <n v="15575"/>
    <n v="35901"/>
    <n v="5"/>
    <x v="4"/>
    <s v="Friday"/>
    <d v="2023-06-18T00:00:00"/>
    <d v="2023-04-01T00:00:00"/>
    <x v="1"/>
    <d v="2023-06-01T00:00:00"/>
    <n v="2023"/>
  </r>
  <r>
    <x v="108"/>
    <x v="1"/>
    <x v="0"/>
    <s v="ART018"/>
    <d v="2023-07-20T00:00:00"/>
    <x v="1"/>
    <x v="4"/>
    <n v="2"/>
    <n v="32279"/>
    <n v="64558"/>
    <n v="21913"/>
    <n v="7385"/>
    <n v="35260"/>
    <n v="8"/>
    <x v="4"/>
    <s v="Thursday"/>
    <d v="2023-07-16T00:00:00"/>
    <d v="2023-07-01T00:00:00"/>
    <x v="0"/>
    <d v="2023-07-01T00:00:00"/>
    <n v="2023"/>
  </r>
  <r>
    <x v="109"/>
    <x v="0"/>
    <x v="0"/>
    <s v="ART042"/>
    <d v="2023-11-14T00:00:00"/>
    <x v="0"/>
    <x v="2"/>
    <n v="1"/>
    <n v="69526"/>
    <n v="69526"/>
    <n v="29855"/>
    <n v="9871"/>
    <n v="29800"/>
    <n v="36"/>
    <x v="3"/>
    <s v="Tuesday"/>
    <d v="2023-11-12T00:00:00"/>
    <d v="2023-10-01T00:00:00"/>
    <x v="10"/>
    <d v="2023-11-01T00:00:00"/>
    <n v="2023"/>
  </r>
  <r>
    <x v="110"/>
    <x v="0"/>
    <x v="0"/>
    <s v="ART012"/>
    <d v="2023-04-03T00:00:00"/>
    <x v="3"/>
    <x v="0"/>
    <n v="1"/>
    <n v="11450"/>
    <n v="11450"/>
    <n v="6122"/>
    <n v="1945"/>
    <n v="3383"/>
    <n v="17"/>
    <x v="2"/>
    <s v="Monday"/>
    <d v="2023-04-02T00:00:00"/>
    <d v="2023-04-01T00:00:00"/>
    <x v="5"/>
    <d v="2023-04-01T00:00:00"/>
    <n v="2023"/>
  </r>
  <r>
    <x v="111"/>
    <x v="4"/>
    <x v="2"/>
    <s v="ART014"/>
    <d v="2023-01-05T00:00:00"/>
    <x v="0"/>
    <x v="6"/>
    <n v="9"/>
    <n v="2023"/>
    <n v="18207"/>
    <n v="8845"/>
    <n v="3389"/>
    <n v="5973"/>
    <n v="48"/>
    <x v="0"/>
    <s v="Thursday"/>
    <d v="2023-01-01T00:00:00"/>
    <d v="2023-01-01T00:00:00"/>
    <x v="8"/>
    <d v="2023-01-01T00:00:00"/>
    <n v="2023"/>
  </r>
  <r>
    <x v="112"/>
    <x v="3"/>
    <x v="2"/>
    <s v="ART038"/>
    <d v="2023-01-21T00:00:00"/>
    <x v="3"/>
    <x v="1"/>
    <n v="2"/>
    <n v="58556"/>
    <n v="117112"/>
    <n v="49174"/>
    <n v="16965"/>
    <n v="50973"/>
    <n v="19"/>
    <x v="3"/>
    <s v="Saturday"/>
    <d v="2023-01-15T00:00:00"/>
    <d v="2023-01-01T00:00:00"/>
    <x v="8"/>
    <d v="2023-01-01T00:00:00"/>
    <n v="2023"/>
  </r>
  <r>
    <x v="113"/>
    <x v="2"/>
    <x v="1"/>
    <s v="ART012"/>
    <d v="2023-09-04T00:00:00"/>
    <x v="0"/>
    <x v="5"/>
    <n v="8"/>
    <n v="56640"/>
    <n v="453120"/>
    <n v="167471"/>
    <n v="51089"/>
    <n v="234560"/>
    <n v="15"/>
    <x v="2"/>
    <s v="Monday"/>
    <d v="2023-09-03T00:00:00"/>
    <d v="2023-07-01T00:00:00"/>
    <x v="9"/>
    <d v="2023-09-01T00:00:00"/>
    <n v="2023"/>
  </r>
  <r>
    <x v="114"/>
    <x v="2"/>
    <x v="1"/>
    <s v="ART042"/>
    <d v="2023-02-11T00:00:00"/>
    <x v="2"/>
    <x v="4"/>
    <n v="1"/>
    <n v="13433"/>
    <n v="13433"/>
    <n v="4747"/>
    <n v="2083"/>
    <n v="6603"/>
    <n v="43"/>
    <x v="1"/>
    <s v="Saturday"/>
    <d v="2023-02-05T00:00:00"/>
    <d v="2023-01-01T00:00:00"/>
    <x v="6"/>
    <d v="2023-02-01T00:00:00"/>
    <n v="2023"/>
  </r>
  <r>
    <x v="115"/>
    <x v="4"/>
    <x v="2"/>
    <s v="ART038"/>
    <d v="2023-06-01T00:00:00"/>
    <x v="0"/>
    <x v="4"/>
    <n v="6"/>
    <n v="15121"/>
    <n v="90726"/>
    <n v="27662"/>
    <n v="10360"/>
    <n v="52704"/>
    <n v="1"/>
    <x v="0"/>
    <s v="Thursday"/>
    <d v="2023-05-28T00:00:00"/>
    <d v="2023-04-01T00:00:00"/>
    <x v="1"/>
    <d v="2023-06-01T00:00:00"/>
    <n v="2023"/>
  </r>
  <r>
    <x v="116"/>
    <x v="4"/>
    <x v="2"/>
    <s v="ART007"/>
    <d v="2023-07-24T00:00:00"/>
    <x v="3"/>
    <x v="3"/>
    <n v="6"/>
    <n v="34368"/>
    <n v="206208"/>
    <n v="115641"/>
    <n v="26273"/>
    <n v="64294"/>
    <n v="3"/>
    <x v="3"/>
    <s v="Monday"/>
    <d v="2023-07-23T00:00:00"/>
    <d v="2023-07-01T00:00:00"/>
    <x v="0"/>
    <d v="2023-07-01T00:00:00"/>
    <n v="2023"/>
  </r>
  <r>
    <x v="117"/>
    <x v="1"/>
    <x v="0"/>
    <s v="ART013"/>
    <d v="2023-08-18T00:00:00"/>
    <x v="1"/>
    <x v="2"/>
    <n v="3"/>
    <n v="8467"/>
    <n v="25401"/>
    <n v="7663"/>
    <n v="4366"/>
    <n v="13372"/>
    <n v="26"/>
    <x v="1"/>
    <s v="Friday"/>
    <d v="2023-08-13T00:00:00"/>
    <d v="2023-07-01T00:00:00"/>
    <x v="7"/>
    <d v="2023-08-01T00:00:00"/>
    <n v="2023"/>
  </r>
  <r>
    <x v="118"/>
    <x v="3"/>
    <x v="2"/>
    <s v="ART003"/>
    <d v="2023-03-06T00:00:00"/>
    <x v="2"/>
    <x v="2"/>
    <n v="1"/>
    <n v="45391"/>
    <n v="45391"/>
    <n v="27068"/>
    <n v="4649"/>
    <n v="13674"/>
    <n v="1"/>
    <x v="0"/>
    <s v="Monday"/>
    <d v="2023-03-05T00:00:00"/>
    <d v="2023-01-01T00:00:00"/>
    <x v="2"/>
    <d v="2023-03-01T00:00:00"/>
    <n v="2023"/>
  </r>
  <r>
    <x v="119"/>
    <x v="4"/>
    <x v="2"/>
    <s v="ART018"/>
    <d v="2023-04-22T00:00:00"/>
    <x v="1"/>
    <x v="6"/>
    <n v="4"/>
    <n v="13018"/>
    <n v="52072"/>
    <n v="15942"/>
    <n v="8411"/>
    <n v="27719"/>
    <n v="32"/>
    <x v="4"/>
    <s v="Saturday"/>
    <d v="2023-04-16T00:00:00"/>
    <d v="2023-04-01T00:00:00"/>
    <x v="5"/>
    <d v="2023-04-01T00:00:00"/>
    <n v="2023"/>
  </r>
  <r>
    <x v="120"/>
    <x v="1"/>
    <x v="0"/>
    <s v="ART007"/>
    <d v="2023-02-09T00:00:00"/>
    <x v="2"/>
    <x v="0"/>
    <n v="6"/>
    <n v="44171"/>
    <n v="265026"/>
    <n v="111073"/>
    <n v="34254"/>
    <n v="119699"/>
    <n v="24"/>
    <x v="3"/>
    <s v="Thursday"/>
    <d v="2023-02-05T00:00:00"/>
    <d v="2023-01-01T00:00:00"/>
    <x v="6"/>
    <d v="2023-02-01T00:00:00"/>
    <n v="2023"/>
  </r>
  <r>
    <x v="121"/>
    <x v="4"/>
    <x v="2"/>
    <s v="ART029"/>
    <d v="2023-05-08T00:00:00"/>
    <x v="2"/>
    <x v="0"/>
    <n v="9"/>
    <n v="5660"/>
    <n v="50940"/>
    <n v="28830"/>
    <n v="5489"/>
    <n v="16621"/>
    <n v="46"/>
    <x v="2"/>
    <s v="Monday"/>
    <d v="2023-05-07T00:00:00"/>
    <d v="2023-04-01T00:00:00"/>
    <x v="4"/>
    <d v="2023-05-01T00:00:00"/>
    <n v="2023"/>
  </r>
  <r>
    <x v="122"/>
    <x v="4"/>
    <x v="2"/>
    <s v="ART041"/>
    <d v="2023-08-10T00:00:00"/>
    <x v="3"/>
    <x v="4"/>
    <n v="4"/>
    <n v="68977"/>
    <n v="275908"/>
    <n v="142055"/>
    <n v="31768"/>
    <n v="102085"/>
    <n v="49"/>
    <x v="3"/>
    <s v="Thursday"/>
    <d v="2023-08-06T00:00:00"/>
    <d v="2023-07-01T00:00:00"/>
    <x v="7"/>
    <d v="2023-08-01T00:00:00"/>
    <n v="2023"/>
  </r>
  <r>
    <x v="123"/>
    <x v="3"/>
    <x v="2"/>
    <s v="ART020"/>
    <d v="2023-08-31T00:00:00"/>
    <x v="3"/>
    <x v="6"/>
    <n v="6"/>
    <n v="5680"/>
    <n v="34080"/>
    <n v="12085"/>
    <n v="6303"/>
    <n v="15692"/>
    <n v="10"/>
    <x v="0"/>
    <s v="Thursday"/>
    <d v="2023-08-27T00:00:00"/>
    <d v="2023-07-01T00:00:00"/>
    <x v="7"/>
    <d v="2023-08-01T00:00:00"/>
    <n v="2023"/>
  </r>
  <r>
    <x v="124"/>
    <x v="4"/>
    <x v="2"/>
    <s v="ART001"/>
    <d v="2023-08-15T00:00:00"/>
    <x v="3"/>
    <x v="0"/>
    <n v="5"/>
    <n v="12903"/>
    <n v="64515"/>
    <n v="36673"/>
    <n v="9278"/>
    <n v="18564"/>
    <n v="48"/>
    <x v="1"/>
    <s v="Tuesday"/>
    <d v="2023-08-13T00:00:00"/>
    <d v="2023-07-01T00:00:00"/>
    <x v="7"/>
    <d v="2023-08-01T00:00:00"/>
    <n v="2023"/>
  </r>
  <r>
    <x v="125"/>
    <x v="1"/>
    <x v="0"/>
    <s v="ART039"/>
    <d v="2023-08-18T00:00:00"/>
    <x v="3"/>
    <x v="6"/>
    <n v="2"/>
    <n v="69251"/>
    <n v="138502"/>
    <n v="54526"/>
    <n v="16500"/>
    <n v="67476"/>
    <n v="26"/>
    <x v="3"/>
    <s v="Friday"/>
    <d v="2023-08-13T00:00:00"/>
    <d v="2023-07-01T00:00:00"/>
    <x v="7"/>
    <d v="2023-08-01T00:00:00"/>
    <n v="2023"/>
  </r>
  <r>
    <x v="126"/>
    <x v="2"/>
    <x v="1"/>
    <s v="ART050"/>
    <d v="2023-10-08T00:00:00"/>
    <x v="1"/>
    <x v="4"/>
    <n v="7"/>
    <n v="63367"/>
    <n v="443569"/>
    <n v="264135"/>
    <n v="69144"/>
    <n v="110290"/>
    <n v="2"/>
    <x v="1"/>
    <s v="Sunday"/>
    <d v="2023-10-08T00:00:00"/>
    <d v="2023-10-01T00:00:00"/>
    <x v="3"/>
    <d v="2023-10-01T00:00:00"/>
    <n v="2023"/>
  </r>
  <r>
    <x v="127"/>
    <x v="3"/>
    <x v="2"/>
    <s v="ART027"/>
    <d v="2023-04-27T00:00:00"/>
    <x v="2"/>
    <x v="5"/>
    <n v="6"/>
    <n v="7523"/>
    <n v="45138"/>
    <n v="20442"/>
    <n v="5455"/>
    <n v="19241"/>
    <n v="17"/>
    <x v="0"/>
    <s v="Thursday"/>
    <d v="2023-04-23T00:00:00"/>
    <d v="2023-04-01T00:00:00"/>
    <x v="5"/>
    <d v="2023-04-01T00:00:00"/>
    <n v="2023"/>
  </r>
  <r>
    <x v="128"/>
    <x v="0"/>
    <x v="0"/>
    <s v="ART011"/>
    <d v="2023-10-11T00:00:00"/>
    <x v="2"/>
    <x v="2"/>
    <n v="4"/>
    <n v="35467"/>
    <n v="141868"/>
    <n v="51994"/>
    <n v="21542"/>
    <n v="68332"/>
    <n v="24"/>
    <x v="0"/>
    <s v="Wednesday"/>
    <d v="2023-10-08T00:00:00"/>
    <d v="2023-10-01T00:00:00"/>
    <x v="3"/>
    <d v="2023-10-01T00:00:00"/>
    <n v="2023"/>
  </r>
  <r>
    <x v="129"/>
    <x v="0"/>
    <x v="0"/>
    <s v="ART001"/>
    <d v="2023-05-13T00:00:00"/>
    <x v="1"/>
    <x v="3"/>
    <n v="7"/>
    <n v="37907"/>
    <n v="265349"/>
    <n v="135790"/>
    <n v="44368"/>
    <n v="85191"/>
    <n v="6"/>
    <x v="3"/>
    <s v="Saturday"/>
    <d v="2023-05-07T00:00:00"/>
    <d v="2023-04-01T00:00:00"/>
    <x v="4"/>
    <d v="2023-05-01T00:00:00"/>
    <n v="2023"/>
  </r>
  <r>
    <x v="130"/>
    <x v="1"/>
    <x v="0"/>
    <s v="ART043"/>
    <d v="2023-10-26T00:00:00"/>
    <x v="2"/>
    <x v="3"/>
    <n v="10"/>
    <n v="12645"/>
    <n v="126450"/>
    <n v="46592"/>
    <n v="16535"/>
    <n v="63323"/>
    <n v="9"/>
    <x v="1"/>
    <s v="Thursday"/>
    <d v="2023-10-22T00:00:00"/>
    <d v="2023-10-01T00:00:00"/>
    <x v="3"/>
    <d v="2023-10-01T00:00:00"/>
    <n v="2023"/>
  </r>
  <r>
    <x v="131"/>
    <x v="4"/>
    <x v="2"/>
    <s v="ART026"/>
    <d v="2023-07-31T00:00:00"/>
    <x v="1"/>
    <x v="4"/>
    <n v="4"/>
    <n v="20480"/>
    <n v="81920"/>
    <n v="37658"/>
    <n v="8539"/>
    <n v="35723"/>
    <n v="12"/>
    <x v="4"/>
    <s v="Monday"/>
    <d v="2023-07-30T00:00:00"/>
    <d v="2023-07-01T00:00:00"/>
    <x v="0"/>
    <d v="2023-07-01T00:00:00"/>
    <n v="2023"/>
  </r>
  <r>
    <x v="132"/>
    <x v="1"/>
    <x v="0"/>
    <s v="ART030"/>
    <d v="2023-01-04T00:00:00"/>
    <x v="3"/>
    <x v="1"/>
    <n v="9"/>
    <n v="20861"/>
    <n v="187749"/>
    <n v="106175"/>
    <n v="26737"/>
    <n v="54837"/>
    <n v="38"/>
    <x v="2"/>
    <s v="Wednesday"/>
    <d v="2023-01-01T00:00:00"/>
    <d v="2023-01-01T00:00:00"/>
    <x v="8"/>
    <d v="2023-01-01T00:00:00"/>
    <n v="2023"/>
  </r>
  <r>
    <x v="133"/>
    <x v="0"/>
    <x v="0"/>
    <s v="ART018"/>
    <d v="2023-02-01T00:00:00"/>
    <x v="3"/>
    <x v="1"/>
    <n v="7"/>
    <n v="25235"/>
    <n v="176645"/>
    <n v="98410"/>
    <n v="34004"/>
    <n v="44231"/>
    <n v="3"/>
    <x v="3"/>
    <s v="Wednesday"/>
    <d v="2023-01-29T00:00:00"/>
    <d v="2023-01-01T00:00:00"/>
    <x v="6"/>
    <d v="2023-02-01T00:00:00"/>
    <n v="2023"/>
  </r>
  <r>
    <x v="134"/>
    <x v="0"/>
    <x v="0"/>
    <s v="ART029"/>
    <d v="2023-05-31T00:00:00"/>
    <x v="3"/>
    <x v="1"/>
    <n v="10"/>
    <n v="23100"/>
    <n v="231000"/>
    <n v="108174"/>
    <n v="43560"/>
    <n v="79266"/>
    <n v="45"/>
    <x v="1"/>
    <s v="Wednesday"/>
    <d v="2023-05-28T00:00:00"/>
    <d v="2023-04-01T00:00:00"/>
    <x v="4"/>
    <d v="2023-05-01T00:00:00"/>
    <n v="2023"/>
  </r>
  <r>
    <x v="135"/>
    <x v="0"/>
    <x v="0"/>
    <s v="ART041"/>
    <d v="2023-04-10T00:00:00"/>
    <x v="3"/>
    <x v="3"/>
    <n v="6"/>
    <n v="46337"/>
    <n v="278022"/>
    <n v="140665"/>
    <n v="55422"/>
    <n v="81935"/>
    <n v="28"/>
    <x v="3"/>
    <s v="Monday"/>
    <d v="2023-04-09T00:00:00"/>
    <d v="2023-04-01T00:00:00"/>
    <x v="5"/>
    <d v="2023-04-01T00:00:00"/>
    <n v="2023"/>
  </r>
  <r>
    <x v="136"/>
    <x v="0"/>
    <x v="0"/>
    <s v="ART043"/>
    <d v="2023-08-14T00:00:00"/>
    <x v="2"/>
    <x v="5"/>
    <n v="9"/>
    <n v="60334"/>
    <n v="543006"/>
    <n v="182611"/>
    <n v="56232"/>
    <n v="304163"/>
    <n v="24"/>
    <x v="2"/>
    <s v="Monday"/>
    <d v="2023-08-13T00:00:00"/>
    <d v="2023-07-01T00:00:00"/>
    <x v="7"/>
    <d v="2023-08-01T00:00:00"/>
    <n v="2023"/>
  </r>
  <r>
    <x v="137"/>
    <x v="4"/>
    <x v="2"/>
    <s v="ART009"/>
    <d v="2023-09-05T00:00:00"/>
    <x v="1"/>
    <x v="6"/>
    <n v="8"/>
    <n v="53280"/>
    <n v="426240"/>
    <n v="146608"/>
    <n v="74435"/>
    <n v="205197"/>
    <n v="1"/>
    <x v="1"/>
    <s v="Tuesday"/>
    <d v="2023-09-03T00:00:00"/>
    <d v="2023-07-01T00:00:00"/>
    <x v="9"/>
    <d v="2023-09-01T00:00:00"/>
    <n v="2023"/>
  </r>
  <r>
    <x v="138"/>
    <x v="1"/>
    <x v="0"/>
    <s v="ART037"/>
    <d v="2023-08-15T00:00:00"/>
    <x v="3"/>
    <x v="4"/>
    <n v="4"/>
    <n v="58524"/>
    <n v="234096"/>
    <n v="117618"/>
    <n v="37756"/>
    <n v="78722"/>
    <n v="10"/>
    <x v="0"/>
    <s v="Tuesday"/>
    <d v="2023-08-13T00:00:00"/>
    <d v="2023-07-01T00:00:00"/>
    <x v="7"/>
    <d v="2023-08-01T00:00:00"/>
    <n v="2023"/>
  </r>
  <r>
    <x v="139"/>
    <x v="3"/>
    <x v="2"/>
    <s v="ART027"/>
    <d v="2023-09-01T00:00:00"/>
    <x v="3"/>
    <x v="1"/>
    <n v="9"/>
    <n v="63813"/>
    <n v="574317"/>
    <n v="325387"/>
    <n v="94628"/>
    <n v="154302"/>
    <n v="16"/>
    <x v="3"/>
    <s v="Friday"/>
    <d v="2023-08-27T00:00:00"/>
    <d v="2023-07-01T00:00:00"/>
    <x v="9"/>
    <d v="2023-09-01T00:00:00"/>
    <n v="2023"/>
  </r>
  <r>
    <x v="140"/>
    <x v="1"/>
    <x v="0"/>
    <s v="ART045"/>
    <d v="2023-05-18T00:00:00"/>
    <x v="2"/>
    <x v="2"/>
    <n v="8"/>
    <n v="5470"/>
    <n v="43760"/>
    <n v="14676"/>
    <n v="6669"/>
    <n v="22415"/>
    <n v="8"/>
    <x v="2"/>
    <s v="Thursday"/>
    <d v="2023-05-14T00:00:00"/>
    <d v="2023-04-01T00:00:00"/>
    <x v="4"/>
    <d v="2023-05-01T00:00:00"/>
    <n v="2023"/>
  </r>
  <r>
    <x v="141"/>
    <x v="2"/>
    <x v="1"/>
    <s v="ART046"/>
    <d v="2023-07-22T00:00:00"/>
    <x v="1"/>
    <x v="0"/>
    <n v="5"/>
    <n v="60022"/>
    <n v="300110"/>
    <n v="162654"/>
    <n v="56801"/>
    <n v="80655"/>
    <n v="12"/>
    <x v="1"/>
    <s v="Saturday"/>
    <d v="2023-07-16T00:00:00"/>
    <d v="2023-07-01T00:00:00"/>
    <x v="0"/>
    <d v="2023-07-01T00:00:00"/>
    <n v="2023"/>
  </r>
  <r>
    <x v="142"/>
    <x v="2"/>
    <x v="1"/>
    <s v="ART037"/>
    <d v="2023-06-08T00:00:00"/>
    <x v="1"/>
    <x v="4"/>
    <n v="6"/>
    <n v="38083"/>
    <n v="228498"/>
    <n v="105976"/>
    <n v="42905"/>
    <n v="79617"/>
    <n v="10"/>
    <x v="3"/>
    <s v="Thursday"/>
    <d v="2023-06-04T00:00:00"/>
    <d v="2023-04-01T00:00:00"/>
    <x v="1"/>
    <d v="2023-06-01T00:00:00"/>
    <n v="2023"/>
  </r>
  <r>
    <x v="143"/>
    <x v="2"/>
    <x v="1"/>
    <s v="ART044"/>
    <d v="2023-01-05T00:00:00"/>
    <x v="2"/>
    <x v="4"/>
    <n v="6"/>
    <n v="36571"/>
    <n v="219426"/>
    <n v="91931"/>
    <n v="33763"/>
    <n v="93732"/>
    <n v="6"/>
    <x v="2"/>
    <s v="Thursday"/>
    <d v="2023-01-01T00:00:00"/>
    <d v="2023-01-01T00:00:00"/>
    <x v="8"/>
    <d v="2023-01-01T00:00:00"/>
    <n v="2023"/>
  </r>
  <r>
    <x v="144"/>
    <x v="0"/>
    <x v="0"/>
    <s v="ART008"/>
    <d v="2023-10-19T00:00:00"/>
    <x v="0"/>
    <x v="3"/>
    <n v="7"/>
    <n v="22317"/>
    <n v="156219"/>
    <n v="87057"/>
    <n v="16380"/>
    <n v="52782"/>
    <n v="42"/>
    <x v="1"/>
    <s v="Thursday"/>
    <d v="2023-10-15T00:00:00"/>
    <d v="2023-10-01T00:00:00"/>
    <x v="3"/>
    <d v="2023-10-01T00:00:00"/>
    <n v="2023"/>
  </r>
  <r>
    <x v="145"/>
    <x v="3"/>
    <x v="2"/>
    <s v="ART023"/>
    <d v="2023-08-05T00:00:00"/>
    <x v="1"/>
    <x v="4"/>
    <n v="8"/>
    <n v="32092"/>
    <n v="256736"/>
    <n v="95177"/>
    <n v="38671"/>
    <n v="122888"/>
    <n v="7"/>
    <x v="0"/>
    <s v="Saturday"/>
    <d v="2023-07-30T00:00:00"/>
    <d v="2023-07-01T00:00:00"/>
    <x v="7"/>
    <d v="2023-08-01T00:00:00"/>
    <n v="2023"/>
  </r>
  <r>
    <x v="146"/>
    <x v="4"/>
    <x v="2"/>
    <s v="ART003"/>
    <d v="2023-05-02T00:00:00"/>
    <x v="1"/>
    <x v="4"/>
    <n v="5"/>
    <n v="48363"/>
    <n v="241815"/>
    <n v="131479"/>
    <n v="31519"/>
    <n v="78817"/>
    <n v="23"/>
    <x v="4"/>
    <s v="Tuesday"/>
    <d v="2023-04-30T00:00:00"/>
    <d v="2023-04-01T00:00:00"/>
    <x v="4"/>
    <d v="2023-05-01T00:00:00"/>
    <n v="2023"/>
  </r>
  <r>
    <x v="147"/>
    <x v="4"/>
    <x v="2"/>
    <s v="ART033"/>
    <d v="2023-06-08T00:00:00"/>
    <x v="3"/>
    <x v="5"/>
    <n v="4"/>
    <n v="60317"/>
    <n v="241268"/>
    <n v="83741"/>
    <n v="24634"/>
    <n v="132893"/>
    <n v="30"/>
    <x v="2"/>
    <s v="Thursday"/>
    <d v="2023-06-04T00:00:00"/>
    <d v="2023-04-01T00:00:00"/>
    <x v="1"/>
    <d v="2023-06-01T00:00:00"/>
    <n v="2023"/>
  </r>
  <r>
    <x v="148"/>
    <x v="0"/>
    <x v="0"/>
    <s v="ART048"/>
    <d v="2023-02-26T00:00:00"/>
    <x v="2"/>
    <x v="1"/>
    <n v="4"/>
    <n v="2919"/>
    <n v="11676"/>
    <n v="5575"/>
    <n v="1213"/>
    <n v="4888"/>
    <n v="34"/>
    <x v="0"/>
    <s v="Sunday"/>
    <d v="2023-02-26T00:00:00"/>
    <d v="2023-01-01T00:00:00"/>
    <x v="6"/>
    <d v="2023-02-01T00:00:00"/>
    <n v="2023"/>
  </r>
  <r>
    <x v="149"/>
    <x v="3"/>
    <x v="2"/>
    <s v="ART040"/>
    <d v="2023-11-09T00:00:00"/>
    <x v="2"/>
    <x v="3"/>
    <n v="4"/>
    <n v="69890"/>
    <n v="279560"/>
    <n v="102435"/>
    <n v="49616"/>
    <n v="127509"/>
    <n v="47"/>
    <x v="3"/>
    <s v="Thursday"/>
    <d v="2023-11-05T00:00:00"/>
    <d v="2023-10-01T00:00:00"/>
    <x v="10"/>
    <d v="2023-11-01T00:00:00"/>
    <n v="2023"/>
  </r>
  <r>
    <x v="150"/>
    <x v="3"/>
    <x v="2"/>
    <s v="ART037"/>
    <d v="2023-01-04T00:00:00"/>
    <x v="0"/>
    <x v="0"/>
    <n v="3"/>
    <n v="64010"/>
    <n v="192030"/>
    <n v="85837"/>
    <n v="24520"/>
    <n v="81673"/>
    <n v="15"/>
    <x v="3"/>
    <s v="Wednesday"/>
    <d v="2023-01-01T00:00:00"/>
    <d v="2023-01-01T00:00:00"/>
    <x v="8"/>
    <d v="2023-01-01T00:00:00"/>
    <n v="2023"/>
  </r>
  <r>
    <x v="151"/>
    <x v="1"/>
    <x v="0"/>
    <s v="ART002"/>
    <d v="2023-09-15T00:00:00"/>
    <x v="1"/>
    <x v="4"/>
    <n v="4"/>
    <n v="62751"/>
    <n v="251004"/>
    <n v="90239"/>
    <n v="45492"/>
    <n v="115273"/>
    <n v="33"/>
    <x v="4"/>
    <s v="Friday"/>
    <d v="2023-09-10T00:00:00"/>
    <d v="2023-07-01T00:00:00"/>
    <x v="9"/>
    <d v="2023-09-01T00:00:00"/>
    <n v="2023"/>
  </r>
  <r>
    <x v="152"/>
    <x v="1"/>
    <x v="0"/>
    <s v="ART038"/>
    <d v="2023-06-24T00:00:00"/>
    <x v="2"/>
    <x v="4"/>
    <n v="7"/>
    <n v="36609"/>
    <n v="256263"/>
    <n v="102427"/>
    <n v="31201"/>
    <n v="122635"/>
    <n v="42"/>
    <x v="0"/>
    <s v="Saturday"/>
    <d v="2023-06-18T00:00:00"/>
    <d v="2023-04-01T00:00:00"/>
    <x v="1"/>
    <d v="2023-06-01T00:00:00"/>
    <n v="2023"/>
  </r>
  <r>
    <x v="153"/>
    <x v="1"/>
    <x v="0"/>
    <s v="ART013"/>
    <d v="2023-10-27T00:00:00"/>
    <x v="0"/>
    <x v="5"/>
    <n v="3"/>
    <n v="29705"/>
    <n v="89115"/>
    <n v="30834"/>
    <n v="10272"/>
    <n v="48009"/>
    <n v="27"/>
    <x v="0"/>
    <s v="Friday"/>
    <d v="2023-10-22T00:00:00"/>
    <d v="2023-10-01T00:00:00"/>
    <x v="3"/>
    <d v="2023-10-01T00:00:00"/>
    <n v="2023"/>
  </r>
  <r>
    <x v="154"/>
    <x v="1"/>
    <x v="0"/>
    <s v="ART031"/>
    <d v="2023-08-01T00:00:00"/>
    <x v="3"/>
    <x v="6"/>
    <n v="4"/>
    <n v="47243"/>
    <n v="188972"/>
    <n v="104693"/>
    <n v="29199"/>
    <n v="55080"/>
    <n v="43"/>
    <x v="2"/>
    <s v="Tuesday"/>
    <d v="2023-07-30T00:00:00"/>
    <d v="2023-07-01T00:00:00"/>
    <x v="7"/>
    <d v="2023-08-01T00:00:00"/>
    <n v="2023"/>
  </r>
  <r>
    <x v="155"/>
    <x v="4"/>
    <x v="2"/>
    <s v="ART028"/>
    <d v="2023-04-20T00:00:00"/>
    <x v="2"/>
    <x v="3"/>
    <n v="8"/>
    <n v="34592"/>
    <n v="276736"/>
    <n v="138473"/>
    <n v="34569"/>
    <n v="103694"/>
    <n v="24"/>
    <x v="0"/>
    <s v="Thursday"/>
    <d v="2023-04-16T00:00:00"/>
    <d v="2023-04-01T00:00:00"/>
    <x v="5"/>
    <d v="2023-04-01T00:00:00"/>
    <n v="2023"/>
  </r>
  <r>
    <x v="156"/>
    <x v="3"/>
    <x v="2"/>
    <s v="ART016"/>
    <d v="2023-10-30T00:00:00"/>
    <x v="2"/>
    <x v="1"/>
    <n v="10"/>
    <n v="27378"/>
    <n v="273780"/>
    <n v="134504"/>
    <n v="47984"/>
    <n v="91292"/>
    <n v="5"/>
    <x v="2"/>
    <s v="Monday"/>
    <d v="2023-10-29T00:00:00"/>
    <d v="2023-10-01T00:00:00"/>
    <x v="3"/>
    <d v="2023-10-01T00:00:00"/>
    <n v="2023"/>
  </r>
  <r>
    <x v="157"/>
    <x v="1"/>
    <x v="0"/>
    <s v="ART006"/>
    <d v="2023-02-08T00:00:00"/>
    <x v="1"/>
    <x v="1"/>
    <n v="3"/>
    <n v="27022"/>
    <n v="81066"/>
    <n v="40038"/>
    <n v="11839"/>
    <n v="29189"/>
    <n v="29"/>
    <x v="2"/>
    <s v="Wednesday"/>
    <d v="2023-02-05T00:00:00"/>
    <d v="2023-01-01T00:00:00"/>
    <x v="6"/>
    <d v="2023-02-01T00:00:00"/>
    <n v="2023"/>
  </r>
  <r>
    <x v="158"/>
    <x v="1"/>
    <x v="0"/>
    <s v="ART018"/>
    <d v="2023-01-08T00:00:00"/>
    <x v="2"/>
    <x v="2"/>
    <n v="8"/>
    <n v="63434"/>
    <n v="507472"/>
    <n v="207654"/>
    <n v="68875"/>
    <n v="230943"/>
    <n v="14"/>
    <x v="2"/>
    <s v="Sunday"/>
    <d v="2023-01-08T00:00:00"/>
    <d v="2023-01-01T00:00:00"/>
    <x v="8"/>
    <d v="2023-01-01T00:00:00"/>
    <n v="2023"/>
  </r>
  <r>
    <x v="159"/>
    <x v="4"/>
    <x v="2"/>
    <s v="ART011"/>
    <d v="2023-02-05T00:00:00"/>
    <x v="0"/>
    <x v="5"/>
    <n v="10"/>
    <n v="45331"/>
    <n v="453310"/>
    <n v="242515"/>
    <n v="49377"/>
    <n v="161418"/>
    <n v="35"/>
    <x v="2"/>
    <s v="Sunday"/>
    <d v="2023-02-05T00:00:00"/>
    <d v="2023-01-01T00:00:00"/>
    <x v="6"/>
    <d v="2023-02-01T00:00:00"/>
    <n v="2023"/>
  </r>
  <r>
    <x v="160"/>
    <x v="2"/>
    <x v="1"/>
    <s v="ART022"/>
    <d v="2023-01-09T00:00:00"/>
    <x v="3"/>
    <x v="5"/>
    <n v="2"/>
    <n v="13838"/>
    <n v="27676"/>
    <n v="13812"/>
    <n v="3204"/>
    <n v="10660"/>
    <n v="26"/>
    <x v="1"/>
    <s v="Monday"/>
    <d v="2023-01-08T00:00:00"/>
    <d v="2023-01-01T00:00:00"/>
    <x v="8"/>
    <d v="2023-01-01T00:00:00"/>
    <n v="2023"/>
  </r>
  <r>
    <x v="161"/>
    <x v="1"/>
    <x v="0"/>
    <s v="ART021"/>
    <d v="2023-04-18T00:00:00"/>
    <x v="0"/>
    <x v="5"/>
    <n v="6"/>
    <n v="25059"/>
    <n v="150354"/>
    <n v="88014"/>
    <n v="24335"/>
    <n v="38005"/>
    <n v="33"/>
    <x v="0"/>
    <s v="Tuesday"/>
    <d v="2023-04-16T00:00:00"/>
    <d v="2023-04-01T00:00:00"/>
    <x v="5"/>
    <d v="2023-04-01T00:00:00"/>
    <n v="2023"/>
  </r>
  <r>
    <x v="162"/>
    <x v="1"/>
    <x v="0"/>
    <s v="ART009"/>
    <d v="2023-01-06T00:00:00"/>
    <x v="1"/>
    <x v="6"/>
    <n v="7"/>
    <n v="48936"/>
    <n v="342552"/>
    <n v="154686"/>
    <n v="54502"/>
    <n v="133364"/>
    <n v="49"/>
    <x v="3"/>
    <s v="Friday"/>
    <d v="2023-01-01T00:00:00"/>
    <d v="2023-01-01T00:00:00"/>
    <x v="8"/>
    <d v="2023-01-01T00:00:00"/>
    <n v="2023"/>
  </r>
  <r>
    <x v="163"/>
    <x v="1"/>
    <x v="0"/>
    <s v="ART005"/>
    <d v="2023-01-18T00:00:00"/>
    <x v="2"/>
    <x v="6"/>
    <n v="8"/>
    <n v="14073"/>
    <n v="112584"/>
    <n v="49913"/>
    <n v="13917"/>
    <n v="48754"/>
    <n v="17"/>
    <x v="1"/>
    <s v="Wednesday"/>
    <d v="2023-01-15T00:00:00"/>
    <d v="2023-01-01T00:00:00"/>
    <x v="8"/>
    <d v="2023-01-01T00:00:00"/>
    <n v="2023"/>
  </r>
  <r>
    <x v="164"/>
    <x v="3"/>
    <x v="2"/>
    <s v="ART017"/>
    <d v="2023-05-21T00:00:00"/>
    <x v="2"/>
    <x v="1"/>
    <n v="5"/>
    <n v="3877"/>
    <n v="19385"/>
    <n v="11024"/>
    <n v="2925"/>
    <n v="5436"/>
    <n v="11"/>
    <x v="0"/>
    <s v="Sunday"/>
    <d v="2023-05-21T00:00:00"/>
    <d v="2023-04-01T00:00:00"/>
    <x v="4"/>
    <d v="2023-05-01T00:00:00"/>
    <n v="2023"/>
  </r>
  <r>
    <x v="165"/>
    <x v="4"/>
    <x v="2"/>
    <s v="ART034"/>
    <d v="2023-04-09T00:00:00"/>
    <x v="3"/>
    <x v="2"/>
    <n v="10"/>
    <n v="23643"/>
    <n v="236430"/>
    <n v="104508"/>
    <n v="46752"/>
    <n v="85170"/>
    <n v="28"/>
    <x v="2"/>
    <s v="Sunday"/>
    <d v="2023-04-09T00:00:00"/>
    <d v="2023-04-01T00:00:00"/>
    <x v="5"/>
    <d v="2023-04-01T00:00:00"/>
    <n v="2023"/>
  </r>
  <r>
    <x v="166"/>
    <x v="3"/>
    <x v="2"/>
    <s v="ART045"/>
    <d v="2023-04-27T00:00:00"/>
    <x v="1"/>
    <x v="5"/>
    <n v="5"/>
    <n v="47949"/>
    <n v="239745"/>
    <n v="85286"/>
    <n v="42713"/>
    <n v="111746"/>
    <n v="46"/>
    <x v="3"/>
    <s v="Thursday"/>
    <d v="2023-04-23T00:00:00"/>
    <d v="2023-04-01T00:00:00"/>
    <x v="5"/>
    <d v="2023-04-01T00:00:00"/>
    <n v="2023"/>
  </r>
  <r>
    <x v="167"/>
    <x v="1"/>
    <x v="0"/>
    <s v="ART050"/>
    <d v="2023-07-18T00:00:00"/>
    <x v="3"/>
    <x v="5"/>
    <n v="1"/>
    <n v="6845"/>
    <n v="6845"/>
    <n v="2119"/>
    <n v="859"/>
    <n v="3867"/>
    <n v="43"/>
    <x v="4"/>
    <s v="Tuesday"/>
    <d v="2023-07-16T00:00:00"/>
    <d v="2023-07-01T00:00:00"/>
    <x v="0"/>
    <d v="2023-07-01T00:00:00"/>
    <n v="2023"/>
  </r>
  <r>
    <x v="168"/>
    <x v="2"/>
    <x v="1"/>
    <s v="ART013"/>
    <d v="2023-05-22T00:00:00"/>
    <x v="1"/>
    <x v="1"/>
    <n v="2"/>
    <n v="36442"/>
    <n v="72884"/>
    <n v="35644"/>
    <n v="14384"/>
    <n v="22856"/>
    <n v="38"/>
    <x v="3"/>
    <s v="Monday"/>
    <d v="2023-05-21T00:00:00"/>
    <d v="2023-04-01T00:00:00"/>
    <x v="4"/>
    <d v="2023-05-01T00:00:00"/>
    <n v="2023"/>
  </r>
  <r>
    <x v="169"/>
    <x v="1"/>
    <x v="0"/>
    <s v="ART047"/>
    <d v="2023-10-31T00:00:00"/>
    <x v="3"/>
    <x v="1"/>
    <n v="10"/>
    <n v="19654"/>
    <n v="196540"/>
    <n v="117647"/>
    <n v="38501"/>
    <n v="40392"/>
    <n v="10"/>
    <x v="4"/>
    <s v="Tuesday"/>
    <d v="2023-10-29T00:00:00"/>
    <d v="2023-10-01T00:00:00"/>
    <x v="3"/>
    <d v="2023-10-01T00:00:00"/>
    <n v="2023"/>
  </r>
  <r>
    <x v="170"/>
    <x v="0"/>
    <x v="0"/>
    <s v="ART015"/>
    <d v="2023-07-16T00:00:00"/>
    <x v="3"/>
    <x v="6"/>
    <n v="2"/>
    <n v="28574"/>
    <n v="57148"/>
    <n v="33558"/>
    <n v="11287"/>
    <n v="12303"/>
    <n v="48"/>
    <x v="2"/>
    <s v="Sunday"/>
    <d v="2023-07-16T00:00:00"/>
    <d v="2023-07-01T00:00:00"/>
    <x v="0"/>
    <d v="2023-07-01T00:00:00"/>
    <n v="2023"/>
  </r>
  <r>
    <x v="171"/>
    <x v="1"/>
    <x v="0"/>
    <s v="ART043"/>
    <d v="2023-05-17T00:00:00"/>
    <x v="3"/>
    <x v="4"/>
    <n v="4"/>
    <n v="5250"/>
    <n v="21000"/>
    <n v="6658"/>
    <n v="2639"/>
    <n v="11703"/>
    <n v="13"/>
    <x v="1"/>
    <s v="Wednesday"/>
    <d v="2023-05-14T00:00:00"/>
    <d v="2023-04-01T00:00:00"/>
    <x v="4"/>
    <d v="2023-05-01T00:00:00"/>
    <n v="2023"/>
  </r>
  <r>
    <x v="172"/>
    <x v="1"/>
    <x v="0"/>
    <s v="ART020"/>
    <d v="2023-11-18T00:00:00"/>
    <x v="3"/>
    <x v="5"/>
    <n v="3"/>
    <n v="16644"/>
    <n v="49932"/>
    <n v="18630"/>
    <n v="6726"/>
    <n v="24576"/>
    <n v="27"/>
    <x v="2"/>
    <s v="Saturday"/>
    <d v="2023-11-12T00:00:00"/>
    <d v="2023-10-01T00:00:00"/>
    <x v="10"/>
    <d v="2023-11-01T00:00:00"/>
    <n v="2023"/>
  </r>
  <r>
    <x v="173"/>
    <x v="0"/>
    <x v="0"/>
    <s v="ART048"/>
    <d v="2023-04-25T00:00:00"/>
    <x v="0"/>
    <x v="3"/>
    <n v="5"/>
    <n v="53830"/>
    <n v="269150"/>
    <n v="137928"/>
    <n v="49164"/>
    <n v="82058"/>
    <n v="19"/>
    <x v="4"/>
    <s v="Tuesday"/>
    <d v="2023-04-23T00:00:00"/>
    <d v="2023-04-01T00:00:00"/>
    <x v="5"/>
    <d v="2023-04-01T00:00:00"/>
    <n v="2023"/>
  </r>
  <r>
    <x v="174"/>
    <x v="1"/>
    <x v="0"/>
    <s v="ART030"/>
    <d v="2023-09-06T00:00:00"/>
    <x v="2"/>
    <x v="3"/>
    <n v="6"/>
    <n v="21620"/>
    <n v="129720"/>
    <n v="70678"/>
    <n v="23343"/>
    <n v="35699"/>
    <n v="24"/>
    <x v="0"/>
    <s v="Wednesday"/>
    <d v="2023-09-03T00:00:00"/>
    <d v="2023-07-01T00:00:00"/>
    <x v="9"/>
    <d v="2023-09-01T00:00:00"/>
    <n v="2023"/>
  </r>
  <r>
    <x v="175"/>
    <x v="1"/>
    <x v="0"/>
    <s v="ART006"/>
    <d v="2023-05-22T00:00:00"/>
    <x v="1"/>
    <x v="3"/>
    <n v="2"/>
    <n v="8605"/>
    <n v="17210"/>
    <n v="8063"/>
    <n v="2191"/>
    <n v="6956"/>
    <n v="18"/>
    <x v="4"/>
    <s v="Monday"/>
    <d v="2023-05-21T00:00:00"/>
    <d v="2023-04-01T00:00:00"/>
    <x v="4"/>
    <d v="2023-05-01T00:00:00"/>
    <n v="2023"/>
  </r>
  <r>
    <x v="176"/>
    <x v="3"/>
    <x v="2"/>
    <s v="ART037"/>
    <d v="2023-10-22T00:00:00"/>
    <x v="3"/>
    <x v="5"/>
    <n v="5"/>
    <n v="41982"/>
    <n v="209910"/>
    <n v="88208"/>
    <n v="27307"/>
    <n v="94395"/>
    <n v="47"/>
    <x v="1"/>
    <s v="Sunday"/>
    <d v="2023-10-22T00:00:00"/>
    <d v="2023-10-01T00:00:00"/>
    <x v="3"/>
    <d v="2023-10-01T00:00:00"/>
    <n v="2023"/>
  </r>
  <r>
    <x v="177"/>
    <x v="1"/>
    <x v="0"/>
    <s v="ART035"/>
    <d v="2023-11-18T00:00:00"/>
    <x v="0"/>
    <x v="4"/>
    <n v="4"/>
    <n v="67405"/>
    <n v="269620"/>
    <n v="115906"/>
    <n v="48265"/>
    <n v="105449"/>
    <n v="44"/>
    <x v="3"/>
    <s v="Saturday"/>
    <d v="2023-11-12T00:00:00"/>
    <d v="2023-10-01T00:00:00"/>
    <x v="10"/>
    <d v="2023-11-01T00:00:00"/>
    <n v="2023"/>
  </r>
  <r>
    <x v="178"/>
    <x v="3"/>
    <x v="2"/>
    <s v="ART036"/>
    <d v="2023-01-22T00:00:00"/>
    <x v="0"/>
    <x v="2"/>
    <n v="5"/>
    <n v="5832"/>
    <n v="29160"/>
    <n v="10449"/>
    <n v="4613"/>
    <n v="14098"/>
    <n v="46"/>
    <x v="3"/>
    <s v="Sunday"/>
    <d v="2023-01-22T00:00:00"/>
    <d v="2023-01-01T00:00:00"/>
    <x v="8"/>
    <d v="2023-01-01T00:00:00"/>
    <n v="2023"/>
  </r>
  <r>
    <x v="179"/>
    <x v="3"/>
    <x v="2"/>
    <s v="ART012"/>
    <d v="2023-02-15T00:00:00"/>
    <x v="3"/>
    <x v="6"/>
    <n v="9"/>
    <n v="45837"/>
    <n v="412533"/>
    <n v="203267"/>
    <n v="52531"/>
    <n v="156735"/>
    <n v="32"/>
    <x v="3"/>
    <s v="Wednesday"/>
    <d v="2023-02-12T00:00:00"/>
    <d v="2023-01-01T00:00:00"/>
    <x v="6"/>
    <d v="2023-02-01T00:00:00"/>
    <n v="2023"/>
  </r>
  <r>
    <x v="180"/>
    <x v="4"/>
    <x v="2"/>
    <s v="ART033"/>
    <d v="2023-01-23T00:00:00"/>
    <x v="1"/>
    <x v="6"/>
    <n v="2"/>
    <n v="56582"/>
    <n v="113164"/>
    <n v="61583"/>
    <n v="16981"/>
    <n v="34600"/>
    <n v="29"/>
    <x v="3"/>
    <s v="Monday"/>
    <d v="2023-01-22T00:00:00"/>
    <d v="2023-01-01T00:00:00"/>
    <x v="8"/>
    <d v="2023-01-01T00:00:00"/>
    <n v="2023"/>
  </r>
  <r>
    <x v="181"/>
    <x v="3"/>
    <x v="2"/>
    <s v="ART012"/>
    <d v="2023-07-12T00:00:00"/>
    <x v="0"/>
    <x v="2"/>
    <n v="5"/>
    <n v="9374"/>
    <n v="46870"/>
    <n v="27671"/>
    <n v="6168"/>
    <n v="13031"/>
    <n v="2"/>
    <x v="3"/>
    <s v="Wednesday"/>
    <d v="2023-07-09T00:00:00"/>
    <d v="2023-07-01T00:00:00"/>
    <x v="0"/>
    <d v="2023-07-01T00:00:00"/>
    <n v="2023"/>
  </r>
  <r>
    <x v="182"/>
    <x v="2"/>
    <x v="1"/>
    <s v="ART023"/>
    <d v="2023-07-06T00:00:00"/>
    <x v="3"/>
    <x v="1"/>
    <n v="4"/>
    <n v="53742"/>
    <n v="214968"/>
    <n v="106112"/>
    <n v="30842"/>
    <n v="78014"/>
    <n v="19"/>
    <x v="3"/>
    <s v="Thursday"/>
    <d v="2023-07-02T00:00:00"/>
    <d v="2023-07-01T00:00:00"/>
    <x v="0"/>
    <d v="2023-07-01T00:00:00"/>
    <n v="2023"/>
  </r>
  <r>
    <x v="183"/>
    <x v="1"/>
    <x v="0"/>
    <s v="ART003"/>
    <d v="2023-10-27T00:00:00"/>
    <x v="3"/>
    <x v="4"/>
    <n v="10"/>
    <n v="20030"/>
    <n v="200300"/>
    <n v="118902"/>
    <n v="25311"/>
    <n v="56087"/>
    <n v="13"/>
    <x v="1"/>
    <s v="Friday"/>
    <d v="2023-10-22T00:00:00"/>
    <d v="2023-10-01T00:00:00"/>
    <x v="3"/>
    <d v="2023-10-01T00:00:00"/>
    <n v="2023"/>
  </r>
  <r>
    <x v="184"/>
    <x v="2"/>
    <x v="1"/>
    <s v="ART019"/>
    <d v="2023-10-08T00:00:00"/>
    <x v="1"/>
    <x v="2"/>
    <n v="6"/>
    <n v="29744"/>
    <n v="178464"/>
    <n v="91181"/>
    <n v="28354"/>
    <n v="58929"/>
    <n v="5"/>
    <x v="3"/>
    <s v="Sunday"/>
    <d v="2023-10-08T00:00:00"/>
    <d v="2023-10-01T00:00:00"/>
    <x v="3"/>
    <d v="2023-10-01T00:00:00"/>
    <n v="2023"/>
  </r>
  <r>
    <x v="185"/>
    <x v="1"/>
    <x v="0"/>
    <s v="ART037"/>
    <d v="2023-01-22T00:00:00"/>
    <x v="1"/>
    <x v="2"/>
    <n v="9"/>
    <n v="44027"/>
    <n v="396243"/>
    <n v="143926"/>
    <n v="63319"/>
    <n v="188998"/>
    <n v="1"/>
    <x v="0"/>
    <s v="Sunday"/>
    <d v="2023-01-22T00:00:00"/>
    <d v="2023-01-01T00:00:00"/>
    <x v="8"/>
    <d v="2023-01-01T00:00:00"/>
    <n v="2023"/>
  </r>
  <r>
    <x v="186"/>
    <x v="4"/>
    <x v="2"/>
    <s v="ART015"/>
    <d v="2023-01-31T00:00:00"/>
    <x v="2"/>
    <x v="4"/>
    <n v="4"/>
    <n v="16248"/>
    <n v="64992"/>
    <n v="34433"/>
    <n v="6964"/>
    <n v="23595"/>
    <n v="47"/>
    <x v="1"/>
    <s v="Tuesday"/>
    <d v="2023-01-29T00:00:00"/>
    <d v="2023-01-01T00:00:00"/>
    <x v="8"/>
    <d v="2023-01-01T00:00:00"/>
    <n v="2023"/>
  </r>
  <r>
    <x v="187"/>
    <x v="2"/>
    <x v="1"/>
    <s v="ART025"/>
    <d v="2023-01-11T00:00:00"/>
    <x v="0"/>
    <x v="3"/>
    <n v="10"/>
    <n v="26823"/>
    <n v="268230"/>
    <n v="88893"/>
    <n v="31891"/>
    <n v="147446"/>
    <n v="21"/>
    <x v="1"/>
    <s v="Wednesday"/>
    <d v="2023-01-08T00:00:00"/>
    <d v="2023-01-01T00:00:00"/>
    <x v="8"/>
    <d v="2023-01-01T00:00:00"/>
    <n v="2023"/>
  </r>
  <r>
    <x v="188"/>
    <x v="3"/>
    <x v="2"/>
    <s v="ART010"/>
    <d v="2023-06-27T00:00:00"/>
    <x v="2"/>
    <x v="6"/>
    <n v="7"/>
    <n v="33633"/>
    <n v="235431"/>
    <n v="85337"/>
    <n v="46548"/>
    <n v="103546"/>
    <n v="34"/>
    <x v="2"/>
    <s v="Tuesday"/>
    <d v="2023-06-25T00:00:00"/>
    <d v="2023-04-01T00:00:00"/>
    <x v="1"/>
    <d v="2023-06-01T00:00:00"/>
    <n v="2023"/>
  </r>
  <r>
    <x v="189"/>
    <x v="1"/>
    <x v="0"/>
    <s v="ART042"/>
    <d v="2023-06-15T00:00:00"/>
    <x v="1"/>
    <x v="5"/>
    <n v="9"/>
    <n v="48152"/>
    <n v="433368"/>
    <n v="225351"/>
    <n v="64209"/>
    <n v="143808"/>
    <n v="17"/>
    <x v="3"/>
    <s v="Thursday"/>
    <d v="2023-06-11T00:00:00"/>
    <d v="2023-04-01T00:00:00"/>
    <x v="1"/>
    <d v="2023-06-01T00:00:00"/>
    <n v="2023"/>
  </r>
  <r>
    <x v="190"/>
    <x v="0"/>
    <x v="0"/>
    <s v="ART018"/>
    <d v="2023-04-29T00:00:00"/>
    <x v="0"/>
    <x v="5"/>
    <n v="5"/>
    <n v="68975"/>
    <n v="344875"/>
    <n v="182875"/>
    <n v="43461"/>
    <n v="118539"/>
    <n v="15"/>
    <x v="0"/>
    <s v="Saturday"/>
    <d v="2023-04-23T00:00:00"/>
    <d v="2023-04-01T00:00:00"/>
    <x v="5"/>
    <d v="2023-04-01T00:00:00"/>
    <n v="2023"/>
  </r>
  <r>
    <x v="191"/>
    <x v="0"/>
    <x v="0"/>
    <s v="ART041"/>
    <d v="2023-01-22T00:00:00"/>
    <x v="2"/>
    <x v="3"/>
    <n v="1"/>
    <n v="63602"/>
    <n v="63602"/>
    <n v="27464"/>
    <n v="8267"/>
    <n v="27871"/>
    <n v="9"/>
    <x v="0"/>
    <s v="Sunday"/>
    <d v="2023-01-22T00:00:00"/>
    <d v="2023-01-01T00:00:00"/>
    <x v="8"/>
    <d v="2023-01-01T00:00:00"/>
    <n v="2023"/>
  </r>
  <r>
    <x v="192"/>
    <x v="2"/>
    <x v="1"/>
    <s v="ART004"/>
    <d v="2023-05-01T00:00:00"/>
    <x v="1"/>
    <x v="2"/>
    <n v="10"/>
    <n v="61580"/>
    <n v="615800"/>
    <n v="328206"/>
    <n v="62923"/>
    <n v="224671"/>
    <n v="34"/>
    <x v="0"/>
    <s v="Monday"/>
    <d v="2023-04-30T00:00:00"/>
    <d v="2023-04-01T00:00:00"/>
    <x v="4"/>
    <d v="2023-05-01T00:00:00"/>
    <n v="2023"/>
  </r>
  <r>
    <x v="193"/>
    <x v="4"/>
    <x v="2"/>
    <s v="ART015"/>
    <d v="2023-03-04T00:00:00"/>
    <x v="0"/>
    <x v="6"/>
    <n v="1"/>
    <n v="53896"/>
    <n v="53896"/>
    <n v="19862"/>
    <n v="5960"/>
    <n v="28074"/>
    <n v="21"/>
    <x v="2"/>
    <s v="Saturday"/>
    <d v="2023-02-26T00:00:00"/>
    <d v="2023-01-01T00:00:00"/>
    <x v="2"/>
    <d v="2023-03-01T00:00:00"/>
    <n v="2023"/>
  </r>
  <r>
    <x v="194"/>
    <x v="4"/>
    <x v="2"/>
    <s v="ART028"/>
    <d v="2023-01-16T00:00:00"/>
    <x v="0"/>
    <x v="1"/>
    <n v="8"/>
    <n v="56033"/>
    <n v="448264"/>
    <n v="241605"/>
    <n v="65722"/>
    <n v="140937"/>
    <n v="8"/>
    <x v="0"/>
    <s v="Monday"/>
    <d v="2023-01-15T00:00:00"/>
    <d v="2023-01-01T00:00:00"/>
    <x v="8"/>
    <d v="2023-01-01T00:00:00"/>
    <n v="2023"/>
  </r>
  <r>
    <x v="195"/>
    <x v="3"/>
    <x v="2"/>
    <s v="ART023"/>
    <d v="2023-07-28T00:00:00"/>
    <x v="3"/>
    <x v="2"/>
    <n v="9"/>
    <n v="34267"/>
    <n v="308403"/>
    <n v="147563"/>
    <n v="45027"/>
    <n v="115813"/>
    <n v="40"/>
    <x v="1"/>
    <s v="Friday"/>
    <d v="2023-07-23T00:00:00"/>
    <d v="2023-07-01T00:00:00"/>
    <x v="0"/>
    <d v="2023-07-01T00:00:00"/>
    <n v="2023"/>
  </r>
  <r>
    <x v="196"/>
    <x v="4"/>
    <x v="2"/>
    <s v="ART009"/>
    <d v="2023-05-18T00:00:00"/>
    <x v="1"/>
    <x v="4"/>
    <n v="4"/>
    <n v="36852"/>
    <n v="147408"/>
    <n v="56545"/>
    <n v="15976"/>
    <n v="74887"/>
    <n v="19"/>
    <x v="4"/>
    <s v="Thursday"/>
    <d v="2023-05-14T00:00:00"/>
    <d v="2023-04-01T00:00:00"/>
    <x v="4"/>
    <d v="2023-05-01T00:00:00"/>
    <n v="2023"/>
  </r>
  <r>
    <x v="197"/>
    <x v="1"/>
    <x v="0"/>
    <s v="ART002"/>
    <d v="2023-04-03T00:00:00"/>
    <x v="2"/>
    <x v="0"/>
    <n v="6"/>
    <n v="64143"/>
    <n v="384858"/>
    <n v="190320"/>
    <n v="45677"/>
    <n v="148861"/>
    <n v="1"/>
    <x v="2"/>
    <s v="Monday"/>
    <d v="2023-04-02T00:00:00"/>
    <d v="2023-04-01T00:00:00"/>
    <x v="5"/>
    <d v="2023-04-01T00:00:00"/>
    <n v="2023"/>
  </r>
  <r>
    <x v="198"/>
    <x v="1"/>
    <x v="0"/>
    <s v="ART029"/>
    <d v="2023-11-03T00:00:00"/>
    <x v="0"/>
    <x v="4"/>
    <n v="1"/>
    <n v="45024"/>
    <n v="45024"/>
    <n v="17597"/>
    <n v="8726"/>
    <n v="18701"/>
    <n v="46"/>
    <x v="2"/>
    <s v="Friday"/>
    <d v="2023-10-29T00:00:00"/>
    <d v="2023-10-01T00:00:00"/>
    <x v="10"/>
    <d v="2023-11-01T00:00:00"/>
    <n v="2023"/>
  </r>
  <r>
    <x v="199"/>
    <x v="1"/>
    <x v="0"/>
    <s v="ART029"/>
    <d v="2023-09-14T00:00:00"/>
    <x v="3"/>
    <x v="0"/>
    <n v="1"/>
    <n v="54785"/>
    <n v="54785"/>
    <n v="26525"/>
    <n v="7550"/>
    <n v="20710"/>
    <n v="46"/>
    <x v="4"/>
    <s v="Thursday"/>
    <d v="2023-09-10T00:00:00"/>
    <d v="2023-07-01T00:00:00"/>
    <x v="9"/>
    <d v="2023-09-01T00:00:00"/>
    <n v="2023"/>
  </r>
  <r>
    <x v="200"/>
    <x v="4"/>
    <x v="2"/>
    <s v="ART029"/>
    <d v="2023-05-19T00:00:00"/>
    <x v="1"/>
    <x v="4"/>
    <n v="5"/>
    <n v="38921"/>
    <n v="194605"/>
    <n v="76598"/>
    <n v="26434"/>
    <n v="91573"/>
    <n v="44"/>
    <x v="3"/>
    <s v="Friday"/>
    <d v="2023-05-14T00:00:00"/>
    <d v="2023-04-01T00:00:00"/>
    <x v="4"/>
    <d v="2023-05-01T00:00:00"/>
    <n v="2023"/>
  </r>
  <r>
    <x v="201"/>
    <x v="1"/>
    <x v="0"/>
    <s v="ART016"/>
    <d v="2023-01-13T00:00:00"/>
    <x v="2"/>
    <x v="1"/>
    <n v="8"/>
    <n v="9188"/>
    <n v="73504"/>
    <n v="42180"/>
    <n v="9467"/>
    <n v="21857"/>
    <n v="29"/>
    <x v="1"/>
    <s v="Friday"/>
    <d v="2023-01-08T00:00:00"/>
    <d v="2023-01-01T00:00:00"/>
    <x v="8"/>
    <d v="2023-01-01T00:00:00"/>
    <n v="2023"/>
  </r>
  <r>
    <x v="202"/>
    <x v="4"/>
    <x v="2"/>
    <s v="ART048"/>
    <d v="2023-07-19T00:00:00"/>
    <x v="2"/>
    <x v="2"/>
    <n v="7"/>
    <n v="44717"/>
    <n v="313019"/>
    <n v="120380"/>
    <n v="45395"/>
    <n v="147244"/>
    <n v="31"/>
    <x v="1"/>
    <s v="Wednesday"/>
    <d v="2023-07-16T00:00:00"/>
    <d v="2023-07-01T00:00:00"/>
    <x v="0"/>
    <d v="2023-07-01T00:00:00"/>
    <n v="2023"/>
  </r>
  <r>
    <x v="203"/>
    <x v="2"/>
    <x v="1"/>
    <s v="ART014"/>
    <d v="2023-01-04T00:00:00"/>
    <x v="0"/>
    <x v="1"/>
    <n v="7"/>
    <n v="56567"/>
    <n v="395969"/>
    <n v="156840"/>
    <n v="63469"/>
    <n v="175660"/>
    <n v="6"/>
    <x v="3"/>
    <s v="Wednesday"/>
    <d v="2023-01-01T00:00:00"/>
    <d v="2023-01-01T00:00:00"/>
    <x v="8"/>
    <d v="2023-01-01T00:00:00"/>
    <n v="2023"/>
  </r>
  <r>
    <x v="204"/>
    <x v="3"/>
    <x v="2"/>
    <s v="ART003"/>
    <d v="2023-05-25T00:00:00"/>
    <x v="0"/>
    <x v="6"/>
    <n v="3"/>
    <n v="2384"/>
    <n v="7152"/>
    <n v="2275"/>
    <n v="758"/>
    <n v="4119"/>
    <n v="36"/>
    <x v="3"/>
    <s v="Thursday"/>
    <d v="2023-05-21T00:00:00"/>
    <d v="2023-04-01T00:00:00"/>
    <x v="4"/>
    <d v="2023-05-01T00:00:00"/>
    <n v="2023"/>
  </r>
  <r>
    <x v="205"/>
    <x v="2"/>
    <x v="1"/>
    <s v="ART028"/>
    <d v="2023-05-06T00:00:00"/>
    <x v="0"/>
    <x v="1"/>
    <n v="4"/>
    <n v="25256"/>
    <n v="101024"/>
    <n v="34043"/>
    <n v="17184"/>
    <n v="49797"/>
    <n v="35"/>
    <x v="1"/>
    <s v="Saturday"/>
    <d v="2023-04-30T00:00:00"/>
    <d v="2023-04-01T00:00:00"/>
    <x v="4"/>
    <d v="2023-05-01T00:00:00"/>
    <n v="2023"/>
  </r>
  <r>
    <x v="206"/>
    <x v="0"/>
    <x v="0"/>
    <s v="ART021"/>
    <d v="2023-11-05T00:00:00"/>
    <x v="3"/>
    <x v="5"/>
    <n v="6"/>
    <n v="34086"/>
    <n v="204516"/>
    <n v="96963"/>
    <n v="22249"/>
    <n v="85304"/>
    <n v="31"/>
    <x v="1"/>
    <s v="Sunday"/>
    <d v="2023-11-05T00:00:00"/>
    <d v="2023-10-01T00:00:00"/>
    <x v="10"/>
    <d v="2023-11-01T00:00:00"/>
    <n v="2023"/>
  </r>
  <r>
    <x v="207"/>
    <x v="1"/>
    <x v="0"/>
    <s v="ART039"/>
    <d v="2023-08-28T00:00:00"/>
    <x v="3"/>
    <x v="5"/>
    <n v="3"/>
    <n v="18326"/>
    <n v="54978"/>
    <n v="30770"/>
    <n v="8922"/>
    <n v="15286"/>
    <n v="20"/>
    <x v="3"/>
    <s v="Monday"/>
    <d v="2023-08-27T00:00:00"/>
    <d v="2023-07-01T00:00:00"/>
    <x v="7"/>
    <d v="2023-08-01T00:00:00"/>
    <n v="2023"/>
  </r>
  <r>
    <x v="208"/>
    <x v="2"/>
    <x v="1"/>
    <s v="ART043"/>
    <d v="2023-04-02T00:00:00"/>
    <x v="2"/>
    <x v="0"/>
    <n v="3"/>
    <n v="7125"/>
    <n v="21375"/>
    <n v="7347"/>
    <n v="2178"/>
    <n v="11850"/>
    <n v="29"/>
    <x v="4"/>
    <s v="Sunday"/>
    <d v="2023-04-02T00:00:00"/>
    <d v="2023-04-01T00:00:00"/>
    <x v="5"/>
    <d v="2023-04-01T00:00:00"/>
    <n v="2023"/>
  </r>
  <r>
    <x v="209"/>
    <x v="0"/>
    <x v="0"/>
    <s v="ART014"/>
    <d v="2023-09-03T00:00:00"/>
    <x v="3"/>
    <x v="4"/>
    <n v="6"/>
    <n v="33123"/>
    <n v="198738"/>
    <n v="90690"/>
    <n v="20693"/>
    <n v="87355"/>
    <n v="37"/>
    <x v="3"/>
    <s v="Sunday"/>
    <d v="2023-09-03T00:00:00"/>
    <d v="2023-07-01T00:00:00"/>
    <x v="9"/>
    <d v="2023-09-01T00:00:00"/>
    <n v="2023"/>
  </r>
  <r>
    <x v="210"/>
    <x v="4"/>
    <x v="2"/>
    <s v="ART018"/>
    <d v="2023-06-20T00:00:00"/>
    <x v="2"/>
    <x v="6"/>
    <n v="8"/>
    <n v="3794"/>
    <n v="30352"/>
    <n v="9895"/>
    <n v="4414"/>
    <n v="16043"/>
    <n v="27"/>
    <x v="0"/>
    <s v="Tuesday"/>
    <d v="2023-06-18T00:00:00"/>
    <d v="2023-04-01T00:00:00"/>
    <x v="1"/>
    <d v="2023-06-01T00:00:00"/>
    <n v="2023"/>
  </r>
  <r>
    <x v="211"/>
    <x v="3"/>
    <x v="2"/>
    <s v="ART014"/>
    <d v="2023-01-19T00:00:00"/>
    <x v="2"/>
    <x v="6"/>
    <n v="3"/>
    <n v="13564"/>
    <n v="40692"/>
    <n v="23406"/>
    <n v="6303"/>
    <n v="10983"/>
    <n v="40"/>
    <x v="4"/>
    <s v="Thursday"/>
    <d v="2023-01-15T00:00:00"/>
    <d v="2023-01-01T00:00:00"/>
    <x v="8"/>
    <d v="2023-01-01T00:00:00"/>
    <n v="2023"/>
  </r>
  <r>
    <x v="212"/>
    <x v="3"/>
    <x v="2"/>
    <s v="ART043"/>
    <d v="2023-07-11T00:00:00"/>
    <x v="1"/>
    <x v="4"/>
    <n v="1"/>
    <n v="22786"/>
    <n v="22786"/>
    <n v="13263"/>
    <n v="4436"/>
    <n v="5087"/>
    <n v="0"/>
    <x v="4"/>
    <s v="Tuesday"/>
    <d v="2023-07-09T00:00:00"/>
    <d v="2023-07-01T00:00:00"/>
    <x v="0"/>
    <d v="2023-07-01T00:00:00"/>
    <n v="2023"/>
  </r>
  <r>
    <x v="213"/>
    <x v="3"/>
    <x v="2"/>
    <s v="ART006"/>
    <d v="2023-03-28T00:00:00"/>
    <x v="1"/>
    <x v="2"/>
    <n v="6"/>
    <n v="29048"/>
    <n v="174288"/>
    <n v="73245"/>
    <n v="30476"/>
    <n v="70567"/>
    <n v="22"/>
    <x v="1"/>
    <s v="Tuesday"/>
    <d v="2023-03-26T00:00:00"/>
    <d v="2023-01-01T00:00:00"/>
    <x v="2"/>
    <d v="2023-03-01T00:00:00"/>
    <n v="2023"/>
  </r>
  <r>
    <x v="214"/>
    <x v="3"/>
    <x v="2"/>
    <s v="ART040"/>
    <d v="2023-02-06T00:00:00"/>
    <x v="1"/>
    <x v="0"/>
    <n v="9"/>
    <n v="58887"/>
    <n v="529983"/>
    <n v="315063"/>
    <n v="80898"/>
    <n v="134022"/>
    <n v="34"/>
    <x v="2"/>
    <s v="Monday"/>
    <d v="2023-02-05T00:00:00"/>
    <d v="2023-01-01T00:00:00"/>
    <x v="6"/>
    <d v="2023-02-01T00:00:00"/>
    <n v="2023"/>
  </r>
  <r>
    <x v="215"/>
    <x v="1"/>
    <x v="0"/>
    <s v="ART031"/>
    <d v="2023-07-11T00:00:00"/>
    <x v="1"/>
    <x v="3"/>
    <n v="8"/>
    <n v="51894"/>
    <n v="415152"/>
    <n v="168670"/>
    <n v="62455"/>
    <n v="184027"/>
    <n v="47"/>
    <x v="1"/>
    <s v="Tuesday"/>
    <d v="2023-07-09T00:00:00"/>
    <d v="2023-07-01T00:00:00"/>
    <x v="0"/>
    <d v="2023-07-01T00:00:00"/>
    <n v="2023"/>
  </r>
  <r>
    <x v="216"/>
    <x v="3"/>
    <x v="2"/>
    <s v="ART009"/>
    <d v="2023-04-28T00:00:00"/>
    <x v="1"/>
    <x v="1"/>
    <n v="7"/>
    <n v="69351"/>
    <n v="485457"/>
    <n v="202719"/>
    <n v="90160"/>
    <n v="192578"/>
    <n v="39"/>
    <x v="2"/>
    <s v="Friday"/>
    <d v="2023-04-23T00:00:00"/>
    <d v="2023-04-01T00:00:00"/>
    <x v="5"/>
    <d v="2023-04-01T00:00:00"/>
    <n v="2023"/>
  </r>
  <r>
    <x v="217"/>
    <x v="2"/>
    <x v="1"/>
    <s v="ART017"/>
    <d v="2023-07-30T00:00:00"/>
    <x v="0"/>
    <x v="0"/>
    <n v="6"/>
    <n v="35785"/>
    <n v="214710"/>
    <n v="91933"/>
    <n v="25382"/>
    <n v="97395"/>
    <n v="37"/>
    <x v="3"/>
    <s v="Sunday"/>
    <d v="2023-07-30T00:00:00"/>
    <d v="2023-07-01T00:00:00"/>
    <x v="0"/>
    <d v="2023-07-01T00:00:00"/>
    <n v="2023"/>
  </r>
  <r>
    <x v="218"/>
    <x v="2"/>
    <x v="1"/>
    <s v="ART002"/>
    <d v="2023-03-11T00:00:00"/>
    <x v="3"/>
    <x v="4"/>
    <n v="9"/>
    <n v="9790"/>
    <n v="88110"/>
    <n v="45790"/>
    <n v="13019"/>
    <n v="29301"/>
    <n v="42"/>
    <x v="3"/>
    <s v="Saturday"/>
    <d v="2023-03-05T00:00:00"/>
    <d v="2023-01-01T00:00:00"/>
    <x v="2"/>
    <d v="2023-03-01T00:00:00"/>
    <n v="2023"/>
  </r>
  <r>
    <x v="219"/>
    <x v="4"/>
    <x v="2"/>
    <s v="ART037"/>
    <d v="2023-09-15T00:00:00"/>
    <x v="2"/>
    <x v="6"/>
    <n v="6"/>
    <n v="58190"/>
    <n v="349140"/>
    <n v="174832"/>
    <n v="47996"/>
    <n v="126312"/>
    <n v="7"/>
    <x v="2"/>
    <s v="Friday"/>
    <d v="2023-09-10T00:00:00"/>
    <d v="2023-07-01T00:00:00"/>
    <x v="9"/>
    <d v="2023-09-01T00:00:00"/>
    <n v="2023"/>
  </r>
  <r>
    <x v="220"/>
    <x v="3"/>
    <x v="2"/>
    <s v="ART030"/>
    <d v="2023-05-13T00:00:00"/>
    <x v="0"/>
    <x v="2"/>
    <n v="2"/>
    <n v="11125"/>
    <n v="22250"/>
    <n v="12826"/>
    <n v="2995"/>
    <n v="6429"/>
    <n v="2"/>
    <x v="3"/>
    <s v="Saturday"/>
    <d v="2023-05-07T00:00:00"/>
    <d v="2023-04-01T00:00:00"/>
    <x v="4"/>
    <d v="2023-05-01T00:00:00"/>
    <n v="2023"/>
  </r>
  <r>
    <x v="221"/>
    <x v="3"/>
    <x v="2"/>
    <s v="ART017"/>
    <d v="2023-03-06T00:00:00"/>
    <x v="2"/>
    <x v="1"/>
    <n v="2"/>
    <n v="33147"/>
    <n v="66294"/>
    <n v="37074"/>
    <n v="8371"/>
    <n v="20849"/>
    <n v="30"/>
    <x v="0"/>
    <s v="Monday"/>
    <d v="2023-03-05T00:00:00"/>
    <d v="2023-01-01T00:00:00"/>
    <x v="2"/>
    <d v="2023-03-01T00:00:00"/>
    <n v="2023"/>
  </r>
  <r>
    <x v="222"/>
    <x v="2"/>
    <x v="1"/>
    <s v="ART032"/>
    <d v="2023-02-14T00:00:00"/>
    <x v="1"/>
    <x v="6"/>
    <n v="1"/>
    <n v="8388"/>
    <n v="8388"/>
    <n v="4610"/>
    <n v="1202"/>
    <n v="2576"/>
    <n v="35"/>
    <x v="1"/>
    <s v="Tuesday"/>
    <d v="2023-02-12T00:00:00"/>
    <d v="2023-01-01T00:00:00"/>
    <x v="6"/>
    <d v="2023-02-01T00:00:00"/>
    <n v="2023"/>
  </r>
  <r>
    <x v="223"/>
    <x v="3"/>
    <x v="2"/>
    <s v="ART018"/>
    <d v="2023-09-23T00:00:00"/>
    <x v="3"/>
    <x v="3"/>
    <n v="4"/>
    <n v="9343"/>
    <n v="37372"/>
    <n v="18295"/>
    <n v="6490"/>
    <n v="12587"/>
    <n v="9"/>
    <x v="2"/>
    <s v="Saturday"/>
    <d v="2023-09-17T00:00:00"/>
    <d v="2023-07-01T00:00:00"/>
    <x v="9"/>
    <d v="2023-09-01T00:00:00"/>
    <n v="2023"/>
  </r>
  <r>
    <x v="224"/>
    <x v="0"/>
    <x v="0"/>
    <s v="ART022"/>
    <d v="2023-08-08T00:00:00"/>
    <x v="1"/>
    <x v="5"/>
    <n v="3"/>
    <n v="27120"/>
    <n v="81360"/>
    <n v="35943"/>
    <n v="11669"/>
    <n v="33748"/>
    <n v="45"/>
    <x v="3"/>
    <s v="Tuesday"/>
    <d v="2023-08-06T00:00:00"/>
    <d v="2023-07-01T00:00:00"/>
    <x v="7"/>
    <d v="2023-08-01T00:00:00"/>
    <n v="2023"/>
  </r>
  <r>
    <x v="225"/>
    <x v="3"/>
    <x v="2"/>
    <s v="ART025"/>
    <d v="2023-09-26T00:00:00"/>
    <x v="1"/>
    <x v="5"/>
    <n v="7"/>
    <n v="37567"/>
    <n v="262969"/>
    <n v="137464"/>
    <n v="50934"/>
    <n v="74571"/>
    <n v="45"/>
    <x v="0"/>
    <s v="Tuesday"/>
    <d v="2023-09-24T00:00:00"/>
    <d v="2023-07-01T00:00:00"/>
    <x v="9"/>
    <d v="2023-09-01T00:00:00"/>
    <n v="2023"/>
  </r>
  <r>
    <x v="226"/>
    <x v="0"/>
    <x v="0"/>
    <s v="ART042"/>
    <d v="2023-02-25T00:00:00"/>
    <x v="3"/>
    <x v="2"/>
    <n v="4"/>
    <n v="61311"/>
    <n v="245244"/>
    <n v="101592"/>
    <n v="43482"/>
    <n v="100170"/>
    <n v="19"/>
    <x v="3"/>
    <s v="Saturday"/>
    <d v="2023-02-19T00:00:00"/>
    <d v="2023-01-01T00:00:00"/>
    <x v="6"/>
    <d v="2023-02-01T00:00:00"/>
    <n v="2023"/>
  </r>
  <r>
    <x v="227"/>
    <x v="3"/>
    <x v="2"/>
    <s v="ART018"/>
    <d v="2023-09-11T00:00:00"/>
    <x v="0"/>
    <x v="3"/>
    <n v="3"/>
    <n v="5456"/>
    <n v="16368"/>
    <n v="5837"/>
    <n v="2856"/>
    <n v="7675"/>
    <n v="25"/>
    <x v="2"/>
    <s v="Monday"/>
    <d v="2023-09-10T00:00:00"/>
    <d v="2023-07-01T00:00:00"/>
    <x v="9"/>
    <d v="2023-09-01T00:00:00"/>
    <n v="2023"/>
  </r>
  <r>
    <x v="228"/>
    <x v="1"/>
    <x v="0"/>
    <s v="ART012"/>
    <d v="2023-05-14T00:00:00"/>
    <x v="2"/>
    <x v="1"/>
    <n v="4"/>
    <n v="61111"/>
    <n v="244444"/>
    <n v="85953"/>
    <n v="41535"/>
    <n v="116956"/>
    <n v="18"/>
    <x v="0"/>
    <s v="Sunday"/>
    <d v="2023-05-14T00:00:00"/>
    <d v="2023-04-01T00:00:00"/>
    <x v="4"/>
    <d v="2023-05-01T00:00:00"/>
    <n v="2023"/>
  </r>
  <r>
    <x v="229"/>
    <x v="2"/>
    <x v="1"/>
    <s v="ART021"/>
    <d v="2023-06-30T00:00:00"/>
    <x v="0"/>
    <x v="5"/>
    <n v="6"/>
    <n v="5008"/>
    <n v="30048"/>
    <n v="9413"/>
    <n v="3302"/>
    <n v="17333"/>
    <n v="1"/>
    <x v="3"/>
    <s v="Friday"/>
    <d v="2023-06-25T00:00:00"/>
    <d v="2023-04-01T00:00:00"/>
    <x v="1"/>
    <d v="2023-06-01T00:00:00"/>
    <n v="2023"/>
  </r>
  <r>
    <x v="230"/>
    <x v="2"/>
    <x v="1"/>
    <s v="ART039"/>
    <d v="2023-08-25T00:00:00"/>
    <x v="2"/>
    <x v="3"/>
    <n v="8"/>
    <n v="5047"/>
    <n v="40376"/>
    <n v="20597"/>
    <n v="7776"/>
    <n v="12003"/>
    <n v="15"/>
    <x v="2"/>
    <s v="Friday"/>
    <d v="2023-08-20T00:00:00"/>
    <d v="2023-07-01T00:00:00"/>
    <x v="7"/>
    <d v="2023-08-01T00:00:00"/>
    <n v="2023"/>
  </r>
  <r>
    <x v="231"/>
    <x v="0"/>
    <x v="0"/>
    <s v="ART022"/>
    <d v="2023-08-27T00:00:00"/>
    <x v="3"/>
    <x v="5"/>
    <n v="10"/>
    <n v="28646"/>
    <n v="286460"/>
    <n v="158976"/>
    <n v="29441"/>
    <n v="98043"/>
    <n v="32"/>
    <x v="0"/>
    <s v="Sunday"/>
    <d v="2023-08-27T00:00:00"/>
    <d v="2023-07-01T00:00:00"/>
    <x v="7"/>
    <d v="2023-08-01T00:00:00"/>
    <n v="2023"/>
  </r>
  <r>
    <x v="232"/>
    <x v="2"/>
    <x v="1"/>
    <s v="ART027"/>
    <d v="2023-09-14T00:00:00"/>
    <x v="0"/>
    <x v="5"/>
    <n v="10"/>
    <n v="39943"/>
    <n v="399430"/>
    <n v="161146"/>
    <n v="51693"/>
    <n v="186591"/>
    <n v="50"/>
    <x v="0"/>
    <s v="Thursday"/>
    <d v="2023-09-10T00:00:00"/>
    <d v="2023-07-01T00:00:00"/>
    <x v="9"/>
    <d v="2023-09-01T00:00:00"/>
    <n v="2023"/>
  </r>
  <r>
    <x v="233"/>
    <x v="1"/>
    <x v="0"/>
    <s v="ART033"/>
    <d v="2023-01-03T00:00:00"/>
    <x v="3"/>
    <x v="4"/>
    <n v="6"/>
    <n v="13720"/>
    <n v="82320"/>
    <n v="42715"/>
    <n v="14660"/>
    <n v="24945"/>
    <n v="19"/>
    <x v="4"/>
    <s v="Tuesday"/>
    <d v="2023-01-01T00:00:00"/>
    <d v="2023-01-01T00:00:00"/>
    <x v="8"/>
    <d v="2023-01-01T00:00:00"/>
    <n v="2023"/>
  </r>
  <r>
    <x v="234"/>
    <x v="1"/>
    <x v="0"/>
    <s v="ART038"/>
    <d v="2023-07-08T00:00:00"/>
    <x v="1"/>
    <x v="4"/>
    <n v="10"/>
    <n v="58231"/>
    <n v="582310"/>
    <n v="272727"/>
    <n v="103063"/>
    <n v="206520"/>
    <n v="27"/>
    <x v="3"/>
    <s v="Saturday"/>
    <d v="2023-07-02T00:00:00"/>
    <d v="2023-07-01T00:00:00"/>
    <x v="0"/>
    <d v="2023-07-01T00:00:00"/>
    <n v="2023"/>
  </r>
  <r>
    <x v="235"/>
    <x v="4"/>
    <x v="2"/>
    <s v="ART027"/>
    <d v="2023-04-10T00:00:00"/>
    <x v="3"/>
    <x v="0"/>
    <n v="8"/>
    <n v="66734"/>
    <n v="533872"/>
    <n v="236790"/>
    <n v="80968"/>
    <n v="216114"/>
    <n v="35"/>
    <x v="4"/>
    <s v="Monday"/>
    <d v="2023-04-09T00:00:00"/>
    <d v="2023-04-01T00:00:00"/>
    <x v="5"/>
    <d v="2023-04-01T00:00:00"/>
    <n v="2023"/>
  </r>
  <r>
    <x v="236"/>
    <x v="2"/>
    <x v="1"/>
    <s v="ART038"/>
    <d v="2023-08-04T00:00:00"/>
    <x v="1"/>
    <x v="4"/>
    <n v="9"/>
    <n v="42004"/>
    <n v="378036"/>
    <n v="158467"/>
    <n v="38015"/>
    <n v="181554"/>
    <n v="17"/>
    <x v="0"/>
    <s v="Friday"/>
    <d v="2023-07-30T00:00:00"/>
    <d v="2023-07-01T00:00:00"/>
    <x v="7"/>
    <d v="2023-08-01T00:00:00"/>
    <n v="2023"/>
  </r>
  <r>
    <x v="237"/>
    <x v="4"/>
    <x v="2"/>
    <s v="ART037"/>
    <d v="2023-04-15T00:00:00"/>
    <x v="2"/>
    <x v="5"/>
    <n v="8"/>
    <n v="29346"/>
    <n v="234768"/>
    <n v="127217"/>
    <n v="35759"/>
    <n v="71792"/>
    <n v="17"/>
    <x v="2"/>
    <s v="Saturday"/>
    <d v="2023-04-09T00:00:00"/>
    <d v="2023-04-01T00:00:00"/>
    <x v="5"/>
    <d v="2023-04-01T00:00:00"/>
    <n v="2023"/>
  </r>
  <r>
    <x v="238"/>
    <x v="2"/>
    <x v="1"/>
    <s v="ART020"/>
    <d v="2023-05-29T00:00:00"/>
    <x v="1"/>
    <x v="1"/>
    <n v="8"/>
    <n v="24441"/>
    <n v="195528"/>
    <n v="107893"/>
    <n v="33174"/>
    <n v="54461"/>
    <n v="39"/>
    <x v="4"/>
    <s v="Monday"/>
    <d v="2023-05-28T00:00:00"/>
    <d v="2023-04-01T00:00:00"/>
    <x v="4"/>
    <d v="2023-05-01T00:00:00"/>
    <n v="2023"/>
  </r>
  <r>
    <x v="239"/>
    <x v="3"/>
    <x v="2"/>
    <s v="ART001"/>
    <d v="2023-08-18T00:00:00"/>
    <x v="3"/>
    <x v="1"/>
    <n v="4"/>
    <n v="55779"/>
    <n v="223116"/>
    <n v="96571"/>
    <n v="29439"/>
    <n v="97106"/>
    <n v="8"/>
    <x v="3"/>
    <s v="Friday"/>
    <d v="2023-08-13T00:00:00"/>
    <d v="2023-07-01T00:00:00"/>
    <x v="7"/>
    <d v="2023-08-01T00:00:00"/>
    <n v="2023"/>
  </r>
  <r>
    <x v="240"/>
    <x v="3"/>
    <x v="2"/>
    <s v="ART048"/>
    <d v="2023-09-29T00:00:00"/>
    <x v="2"/>
    <x v="2"/>
    <n v="3"/>
    <n v="3227"/>
    <n v="9681"/>
    <n v="5659"/>
    <n v="1909"/>
    <n v="2113"/>
    <n v="44"/>
    <x v="1"/>
    <s v="Friday"/>
    <d v="2023-09-24T00:00:00"/>
    <d v="2023-07-01T00:00:00"/>
    <x v="9"/>
    <d v="2023-09-01T00:00:00"/>
    <n v="2023"/>
  </r>
  <r>
    <x v="241"/>
    <x v="1"/>
    <x v="0"/>
    <s v="ART037"/>
    <d v="2023-05-29T00:00:00"/>
    <x v="3"/>
    <x v="2"/>
    <n v="9"/>
    <n v="31850"/>
    <n v="286650"/>
    <n v="153274"/>
    <n v="34956"/>
    <n v="98420"/>
    <n v="10"/>
    <x v="2"/>
    <s v="Monday"/>
    <d v="2023-05-28T00:00:00"/>
    <d v="2023-04-01T00:00:00"/>
    <x v="4"/>
    <d v="2023-05-01T00:00:00"/>
    <n v="2023"/>
  </r>
  <r>
    <x v="242"/>
    <x v="0"/>
    <x v="0"/>
    <s v="ART010"/>
    <d v="2023-10-28T00:00:00"/>
    <x v="1"/>
    <x v="3"/>
    <n v="10"/>
    <n v="31759"/>
    <n v="317590"/>
    <n v="122555"/>
    <n v="55722"/>
    <n v="139313"/>
    <n v="4"/>
    <x v="1"/>
    <s v="Saturday"/>
    <d v="2023-10-22T00:00:00"/>
    <d v="2023-10-01T00:00:00"/>
    <x v="3"/>
    <d v="2023-10-01T00:00:00"/>
    <n v="2023"/>
  </r>
  <r>
    <x v="243"/>
    <x v="4"/>
    <x v="2"/>
    <s v="ART046"/>
    <d v="2023-08-18T00:00:00"/>
    <x v="3"/>
    <x v="5"/>
    <n v="6"/>
    <n v="28403"/>
    <n v="170418"/>
    <n v="78402"/>
    <n v="21393"/>
    <n v="70623"/>
    <n v="25"/>
    <x v="3"/>
    <s v="Friday"/>
    <d v="2023-08-13T00:00:00"/>
    <d v="2023-07-01T00:00:00"/>
    <x v="7"/>
    <d v="2023-08-01T00:00:00"/>
    <n v="2023"/>
  </r>
  <r>
    <x v="244"/>
    <x v="4"/>
    <x v="2"/>
    <s v="ART001"/>
    <d v="2023-05-05T00:00:00"/>
    <x v="2"/>
    <x v="4"/>
    <n v="4"/>
    <n v="56693"/>
    <n v="226772"/>
    <n v="111123"/>
    <n v="25287"/>
    <n v="90362"/>
    <n v="31"/>
    <x v="4"/>
    <s v="Friday"/>
    <d v="2023-04-30T00:00:00"/>
    <d v="2023-04-01T00:00:00"/>
    <x v="4"/>
    <d v="2023-05-01T00:00:00"/>
    <n v="2023"/>
  </r>
  <r>
    <x v="245"/>
    <x v="1"/>
    <x v="0"/>
    <s v="ART007"/>
    <d v="2023-10-03T00:00:00"/>
    <x v="1"/>
    <x v="0"/>
    <n v="10"/>
    <n v="28511"/>
    <n v="285110"/>
    <n v="97554"/>
    <n v="51056"/>
    <n v="136500"/>
    <n v="30"/>
    <x v="1"/>
    <s v="Tuesday"/>
    <d v="2023-10-01T00:00:00"/>
    <d v="2023-10-01T00:00:00"/>
    <x v="3"/>
    <d v="2023-10-01T00:00:00"/>
    <n v="2023"/>
  </r>
  <r>
    <x v="246"/>
    <x v="2"/>
    <x v="1"/>
    <s v="ART013"/>
    <d v="2023-10-21T00:00:00"/>
    <x v="1"/>
    <x v="1"/>
    <n v="7"/>
    <n v="42897"/>
    <n v="300279"/>
    <n v="128245"/>
    <n v="47899"/>
    <n v="124135"/>
    <n v="18"/>
    <x v="1"/>
    <s v="Saturday"/>
    <d v="2023-10-15T00:00:00"/>
    <d v="2023-10-01T00:00:00"/>
    <x v="3"/>
    <d v="2023-10-01T00:00:00"/>
    <n v="2023"/>
  </r>
  <r>
    <x v="247"/>
    <x v="2"/>
    <x v="1"/>
    <s v="ART047"/>
    <d v="2023-02-16T00:00:00"/>
    <x v="0"/>
    <x v="0"/>
    <n v="7"/>
    <n v="16027"/>
    <n v="112189"/>
    <n v="60150"/>
    <n v="15182"/>
    <n v="36857"/>
    <n v="35"/>
    <x v="3"/>
    <s v="Thursday"/>
    <d v="2023-02-12T00:00:00"/>
    <d v="2023-01-01T00:00:00"/>
    <x v="6"/>
    <d v="2023-02-01T00:00:00"/>
    <n v="2023"/>
  </r>
  <r>
    <x v="248"/>
    <x v="3"/>
    <x v="2"/>
    <s v="ART015"/>
    <d v="2023-09-28T00:00:00"/>
    <x v="2"/>
    <x v="5"/>
    <n v="4"/>
    <n v="68413"/>
    <n v="273652"/>
    <n v="84316"/>
    <n v="47473"/>
    <n v="141863"/>
    <n v="31"/>
    <x v="0"/>
    <s v="Thursday"/>
    <d v="2023-09-24T00:00:00"/>
    <d v="2023-07-01T00:00:00"/>
    <x v="9"/>
    <d v="2023-09-01T00:00:00"/>
    <n v="2023"/>
  </r>
  <r>
    <x v="249"/>
    <x v="1"/>
    <x v="0"/>
    <s v="ART047"/>
    <d v="2023-02-04T00:00:00"/>
    <x v="2"/>
    <x v="6"/>
    <n v="7"/>
    <n v="19294"/>
    <n v="135058"/>
    <n v="75540"/>
    <n v="24597"/>
    <n v="34921"/>
    <n v="46"/>
    <x v="0"/>
    <s v="Saturday"/>
    <d v="2023-01-29T00:00:00"/>
    <d v="2023-01-01T00:00:00"/>
    <x v="6"/>
    <d v="2023-02-01T00:00:00"/>
    <n v="2023"/>
  </r>
  <r>
    <x v="250"/>
    <x v="0"/>
    <x v="0"/>
    <s v="ART005"/>
    <d v="2023-05-06T00:00:00"/>
    <x v="0"/>
    <x v="1"/>
    <n v="1"/>
    <n v="13393"/>
    <n v="13393"/>
    <n v="5318"/>
    <n v="2577"/>
    <n v="5498"/>
    <n v="25"/>
    <x v="3"/>
    <s v="Saturday"/>
    <d v="2023-04-30T00:00:00"/>
    <d v="2023-04-01T00:00:00"/>
    <x v="4"/>
    <d v="2023-05-01T00:00:00"/>
    <n v="2023"/>
  </r>
  <r>
    <x v="251"/>
    <x v="2"/>
    <x v="1"/>
    <s v="ART026"/>
    <d v="2023-11-02T00:00:00"/>
    <x v="2"/>
    <x v="5"/>
    <n v="2"/>
    <n v="62462"/>
    <n v="124924"/>
    <n v="44297"/>
    <n v="21186"/>
    <n v="59441"/>
    <n v="9"/>
    <x v="0"/>
    <s v="Thursday"/>
    <d v="2023-10-29T00:00:00"/>
    <d v="2023-10-01T00:00:00"/>
    <x v="10"/>
    <d v="2023-11-01T00:00:00"/>
    <n v="2023"/>
  </r>
  <r>
    <x v="252"/>
    <x v="2"/>
    <x v="1"/>
    <s v="ART028"/>
    <d v="2023-01-22T00:00:00"/>
    <x v="1"/>
    <x v="0"/>
    <n v="3"/>
    <n v="44487"/>
    <n v="133461"/>
    <n v="60798"/>
    <n v="20888"/>
    <n v="51775"/>
    <n v="10"/>
    <x v="3"/>
    <s v="Sunday"/>
    <d v="2023-01-22T00:00:00"/>
    <d v="2023-01-01T00:00:00"/>
    <x v="8"/>
    <d v="2023-01-01T00:00:00"/>
    <n v="2023"/>
  </r>
  <r>
    <x v="253"/>
    <x v="0"/>
    <x v="0"/>
    <s v="ART019"/>
    <d v="2023-09-19T00:00:00"/>
    <x v="1"/>
    <x v="2"/>
    <n v="9"/>
    <n v="26228"/>
    <n v="236052"/>
    <n v="138140"/>
    <n v="37372"/>
    <n v="60540"/>
    <n v="13"/>
    <x v="4"/>
    <s v="Tuesday"/>
    <d v="2023-09-17T00:00:00"/>
    <d v="2023-07-01T00:00:00"/>
    <x v="9"/>
    <d v="2023-09-01T00:00:00"/>
    <n v="2023"/>
  </r>
  <r>
    <x v="254"/>
    <x v="4"/>
    <x v="2"/>
    <s v="ART028"/>
    <d v="2023-07-10T00:00:00"/>
    <x v="3"/>
    <x v="4"/>
    <n v="7"/>
    <n v="63009"/>
    <n v="441063"/>
    <n v="215886"/>
    <n v="69603"/>
    <n v="155574"/>
    <n v="18"/>
    <x v="4"/>
    <s v="Monday"/>
    <d v="2023-07-09T00:00:00"/>
    <d v="2023-07-01T00:00:00"/>
    <x v="0"/>
    <d v="2023-07-01T00:00:00"/>
    <n v="2023"/>
  </r>
  <r>
    <x v="255"/>
    <x v="2"/>
    <x v="1"/>
    <s v="ART036"/>
    <d v="2023-08-26T00:00:00"/>
    <x v="2"/>
    <x v="3"/>
    <n v="9"/>
    <n v="26372"/>
    <n v="237348"/>
    <n v="78113"/>
    <n v="36468"/>
    <n v="122767"/>
    <n v="2"/>
    <x v="4"/>
    <s v="Saturday"/>
    <d v="2023-08-20T00:00:00"/>
    <d v="2023-07-01T00:00:00"/>
    <x v="7"/>
    <d v="2023-08-01T00:00:00"/>
    <n v="2023"/>
  </r>
  <r>
    <x v="256"/>
    <x v="2"/>
    <x v="1"/>
    <s v="ART010"/>
    <d v="2023-03-07T00:00:00"/>
    <x v="0"/>
    <x v="4"/>
    <n v="6"/>
    <n v="48071"/>
    <n v="288426"/>
    <n v="89447"/>
    <n v="39224"/>
    <n v="159755"/>
    <n v="16"/>
    <x v="1"/>
    <s v="Tuesday"/>
    <d v="2023-03-05T00:00:00"/>
    <d v="2023-01-01T00:00:00"/>
    <x v="2"/>
    <d v="2023-03-01T00:00:00"/>
    <n v="2023"/>
  </r>
  <r>
    <x v="257"/>
    <x v="3"/>
    <x v="2"/>
    <s v="ART011"/>
    <d v="2023-05-01T00:00:00"/>
    <x v="1"/>
    <x v="0"/>
    <n v="3"/>
    <n v="43442"/>
    <n v="130326"/>
    <n v="44210"/>
    <n v="17042"/>
    <n v="69074"/>
    <n v="45"/>
    <x v="4"/>
    <s v="Monday"/>
    <d v="2023-04-30T00:00:00"/>
    <d v="2023-04-01T00:00:00"/>
    <x v="4"/>
    <d v="2023-05-01T00:00:00"/>
    <n v="2023"/>
  </r>
  <r>
    <x v="258"/>
    <x v="1"/>
    <x v="0"/>
    <s v="ART015"/>
    <d v="2023-06-24T00:00:00"/>
    <x v="1"/>
    <x v="6"/>
    <n v="5"/>
    <n v="16873"/>
    <n v="84365"/>
    <n v="30436"/>
    <n v="11199"/>
    <n v="42730"/>
    <n v="29"/>
    <x v="2"/>
    <s v="Saturday"/>
    <d v="2023-06-18T00:00:00"/>
    <d v="2023-04-01T00:00:00"/>
    <x v="1"/>
    <d v="2023-06-01T00:00:00"/>
    <n v="2023"/>
  </r>
  <r>
    <x v="259"/>
    <x v="4"/>
    <x v="2"/>
    <s v="ART041"/>
    <d v="2023-09-13T00:00:00"/>
    <x v="1"/>
    <x v="6"/>
    <n v="2"/>
    <n v="4754"/>
    <n v="9508"/>
    <n v="3998"/>
    <n v="1056"/>
    <n v="4454"/>
    <n v="1"/>
    <x v="4"/>
    <s v="Wednesday"/>
    <d v="2023-09-10T00:00:00"/>
    <d v="2023-07-01T00:00:00"/>
    <x v="9"/>
    <d v="2023-09-01T00:00:00"/>
    <n v="2023"/>
  </r>
  <r>
    <x v="260"/>
    <x v="3"/>
    <x v="2"/>
    <s v="ART010"/>
    <d v="2023-07-22T00:00:00"/>
    <x v="2"/>
    <x v="2"/>
    <n v="5"/>
    <n v="68119"/>
    <n v="340595"/>
    <n v="172769"/>
    <n v="43918"/>
    <n v="123908"/>
    <n v="0"/>
    <x v="1"/>
    <s v="Saturday"/>
    <d v="2023-07-16T00:00:00"/>
    <d v="2023-07-01T00:00:00"/>
    <x v="0"/>
    <d v="2023-07-01T00:00:00"/>
    <n v="2023"/>
  </r>
  <r>
    <x v="261"/>
    <x v="3"/>
    <x v="2"/>
    <s v="ART002"/>
    <d v="2023-10-01T00:00:00"/>
    <x v="0"/>
    <x v="6"/>
    <n v="10"/>
    <n v="7813"/>
    <n v="78130"/>
    <n v="31235"/>
    <n v="13732"/>
    <n v="33163"/>
    <n v="14"/>
    <x v="4"/>
    <s v="Sunday"/>
    <d v="2023-10-01T00:00:00"/>
    <d v="2023-10-01T00:00:00"/>
    <x v="3"/>
    <d v="2023-10-01T00:00:00"/>
    <n v="2023"/>
  </r>
  <r>
    <x v="262"/>
    <x v="4"/>
    <x v="2"/>
    <s v="ART007"/>
    <d v="2023-01-24T00:00:00"/>
    <x v="2"/>
    <x v="0"/>
    <n v="9"/>
    <n v="60046"/>
    <n v="540414"/>
    <n v="186075"/>
    <n v="80088"/>
    <n v="274251"/>
    <n v="31"/>
    <x v="2"/>
    <s v="Tuesday"/>
    <d v="2023-01-22T00:00:00"/>
    <d v="2023-01-01T00:00:00"/>
    <x v="8"/>
    <d v="2023-01-01T00:00:00"/>
    <n v="2023"/>
  </r>
  <r>
    <x v="263"/>
    <x v="4"/>
    <x v="2"/>
    <s v="ART022"/>
    <d v="2023-05-05T00:00:00"/>
    <x v="1"/>
    <x v="0"/>
    <n v="3"/>
    <n v="69036"/>
    <n v="207108"/>
    <n v="70996"/>
    <n v="29543"/>
    <n v="106569"/>
    <n v="39"/>
    <x v="4"/>
    <s v="Friday"/>
    <d v="2023-04-30T00:00:00"/>
    <d v="2023-04-01T00:00:00"/>
    <x v="4"/>
    <d v="2023-05-01T00:00:00"/>
    <n v="2023"/>
  </r>
  <r>
    <x v="264"/>
    <x v="4"/>
    <x v="2"/>
    <s v="ART007"/>
    <d v="2023-10-02T00:00:00"/>
    <x v="1"/>
    <x v="6"/>
    <n v="5"/>
    <n v="8913"/>
    <n v="44565"/>
    <n v="23312"/>
    <n v="4657"/>
    <n v="16596"/>
    <n v="22"/>
    <x v="0"/>
    <s v="Monday"/>
    <d v="2023-10-01T00:00:00"/>
    <d v="2023-10-01T00:00:00"/>
    <x v="3"/>
    <d v="2023-10-01T00:00:00"/>
    <n v="2023"/>
  </r>
  <r>
    <x v="265"/>
    <x v="1"/>
    <x v="0"/>
    <s v="ART046"/>
    <d v="2023-11-03T00:00:00"/>
    <x v="3"/>
    <x v="3"/>
    <n v="1"/>
    <n v="6462"/>
    <n v="6462"/>
    <n v="3512"/>
    <n v="1271"/>
    <n v="1679"/>
    <n v="30"/>
    <x v="1"/>
    <s v="Friday"/>
    <d v="2023-10-29T00:00:00"/>
    <d v="2023-10-01T00:00:00"/>
    <x v="10"/>
    <d v="2023-11-01T00:00:00"/>
    <n v="2023"/>
  </r>
  <r>
    <x v="266"/>
    <x v="1"/>
    <x v="0"/>
    <s v="ART032"/>
    <d v="2023-03-10T00:00:00"/>
    <x v="3"/>
    <x v="0"/>
    <n v="2"/>
    <n v="36503"/>
    <n v="73006"/>
    <n v="42293"/>
    <n v="12259"/>
    <n v="18454"/>
    <n v="35"/>
    <x v="3"/>
    <s v="Friday"/>
    <d v="2023-03-05T00:00:00"/>
    <d v="2023-01-01T00:00:00"/>
    <x v="2"/>
    <d v="2023-03-01T00:00:00"/>
    <n v="2023"/>
  </r>
  <r>
    <x v="267"/>
    <x v="3"/>
    <x v="2"/>
    <s v="ART028"/>
    <d v="2023-02-18T00:00:00"/>
    <x v="1"/>
    <x v="2"/>
    <n v="5"/>
    <n v="23607"/>
    <n v="118035"/>
    <n v="36964"/>
    <n v="22369"/>
    <n v="58702"/>
    <n v="2"/>
    <x v="4"/>
    <s v="Saturday"/>
    <d v="2023-02-12T00:00:00"/>
    <d v="2023-01-01T00:00:00"/>
    <x v="6"/>
    <d v="2023-02-01T00:00:00"/>
    <n v="2023"/>
  </r>
  <r>
    <x v="268"/>
    <x v="1"/>
    <x v="0"/>
    <s v="ART016"/>
    <d v="2023-08-16T00:00:00"/>
    <x v="0"/>
    <x v="5"/>
    <n v="8"/>
    <n v="25095"/>
    <n v="200760"/>
    <n v="92103"/>
    <n v="28316"/>
    <n v="80341"/>
    <n v="32"/>
    <x v="1"/>
    <s v="Wednesday"/>
    <d v="2023-08-13T00:00:00"/>
    <d v="2023-07-01T00:00:00"/>
    <x v="7"/>
    <d v="2023-08-01T00:00:00"/>
    <n v="2023"/>
  </r>
  <r>
    <x v="269"/>
    <x v="4"/>
    <x v="2"/>
    <s v="ART013"/>
    <d v="2023-01-20T00:00:00"/>
    <x v="2"/>
    <x v="6"/>
    <n v="9"/>
    <n v="11237"/>
    <n v="101133"/>
    <n v="58816"/>
    <n v="20057"/>
    <n v="22260"/>
    <n v="1"/>
    <x v="3"/>
    <s v="Friday"/>
    <d v="2023-01-15T00:00:00"/>
    <d v="2023-01-01T00:00:00"/>
    <x v="8"/>
    <d v="2023-01-01T00:00:00"/>
    <n v="2023"/>
  </r>
  <r>
    <x v="270"/>
    <x v="4"/>
    <x v="2"/>
    <s v="ART026"/>
    <d v="2023-11-03T00:00:00"/>
    <x v="2"/>
    <x v="0"/>
    <n v="1"/>
    <n v="17997"/>
    <n v="17997"/>
    <n v="8951"/>
    <n v="2468"/>
    <n v="6578"/>
    <n v="2"/>
    <x v="2"/>
    <s v="Friday"/>
    <d v="2023-10-29T00:00:00"/>
    <d v="2023-10-01T00:00:00"/>
    <x v="10"/>
    <d v="2023-11-01T00:00:00"/>
    <n v="2023"/>
  </r>
  <r>
    <x v="271"/>
    <x v="2"/>
    <x v="1"/>
    <s v="ART015"/>
    <d v="2023-07-01T00:00:00"/>
    <x v="0"/>
    <x v="3"/>
    <n v="3"/>
    <n v="60901"/>
    <n v="182703"/>
    <n v="106289"/>
    <n v="18313"/>
    <n v="58101"/>
    <n v="46"/>
    <x v="3"/>
    <s v="Saturday"/>
    <d v="2023-06-25T00:00:00"/>
    <d v="2023-07-01T00:00:00"/>
    <x v="0"/>
    <d v="2023-07-01T00:00:00"/>
    <n v="2023"/>
  </r>
  <r>
    <x v="272"/>
    <x v="1"/>
    <x v="0"/>
    <s v="ART010"/>
    <d v="2023-06-07T00:00:00"/>
    <x v="0"/>
    <x v="3"/>
    <n v="10"/>
    <n v="62424"/>
    <n v="624240"/>
    <n v="319367"/>
    <n v="78747"/>
    <n v="226126"/>
    <n v="43"/>
    <x v="4"/>
    <s v="Wednesday"/>
    <d v="2023-06-04T00:00:00"/>
    <d v="2023-04-01T00:00:00"/>
    <x v="1"/>
    <d v="2023-06-01T00:00:00"/>
    <n v="2023"/>
  </r>
  <r>
    <x v="273"/>
    <x v="0"/>
    <x v="0"/>
    <s v="ART047"/>
    <d v="2023-11-20T00:00:00"/>
    <x v="0"/>
    <x v="6"/>
    <n v="3"/>
    <n v="63093"/>
    <n v="189279"/>
    <n v="69395"/>
    <n v="19348"/>
    <n v="100536"/>
    <n v="27"/>
    <x v="0"/>
    <s v="Monday"/>
    <d v="2023-11-19T00:00:00"/>
    <d v="2023-10-01T00:00:00"/>
    <x v="10"/>
    <d v="2023-11-01T00:00:00"/>
    <n v="2023"/>
  </r>
  <r>
    <x v="274"/>
    <x v="4"/>
    <x v="2"/>
    <s v="ART027"/>
    <d v="2023-01-23T00:00:00"/>
    <x v="2"/>
    <x v="5"/>
    <n v="10"/>
    <n v="6582"/>
    <n v="65820"/>
    <n v="31015"/>
    <n v="8974"/>
    <n v="25831"/>
    <n v="34"/>
    <x v="2"/>
    <s v="Monday"/>
    <d v="2023-01-22T00:00:00"/>
    <d v="2023-01-01T00:00:00"/>
    <x v="8"/>
    <d v="2023-01-01T00:00:00"/>
    <n v="2023"/>
  </r>
  <r>
    <x v="275"/>
    <x v="2"/>
    <x v="1"/>
    <s v="ART028"/>
    <d v="2023-08-10T00:00:00"/>
    <x v="2"/>
    <x v="6"/>
    <n v="7"/>
    <n v="21588"/>
    <n v="151116"/>
    <n v="65753"/>
    <n v="29401"/>
    <n v="55962"/>
    <n v="14"/>
    <x v="0"/>
    <s v="Thursday"/>
    <d v="2023-08-06T00:00:00"/>
    <d v="2023-07-01T00:00:00"/>
    <x v="7"/>
    <d v="2023-08-01T00:00:00"/>
    <n v="2023"/>
  </r>
  <r>
    <x v="276"/>
    <x v="4"/>
    <x v="2"/>
    <s v="ART008"/>
    <d v="2023-10-01T00:00:00"/>
    <x v="1"/>
    <x v="5"/>
    <n v="10"/>
    <n v="18671"/>
    <n v="186710"/>
    <n v="87301"/>
    <n v="24974"/>
    <n v="74435"/>
    <n v="29"/>
    <x v="1"/>
    <s v="Sunday"/>
    <d v="2023-10-01T00:00:00"/>
    <d v="2023-10-01T00:00:00"/>
    <x v="3"/>
    <d v="2023-10-01T00:00:00"/>
    <n v="2023"/>
  </r>
  <r>
    <x v="277"/>
    <x v="1"/>
    <x v="0"/>
    <s v="ART018"/>
    <d v="2023-03-26T00:00:00"/>
    <x v="3"/>
    <x v="1"/>
    <n v="5"/>
    <n v="19328"/>
    <n v="96640"/>
    <n v="56490"/>
    <n v="12813"/>
    <n v="27337"/>
    <n v="28"/>
    <x v="2"/>
    <s v="Sunday"/>
    <d v="2023-03-26T00:00:00"/>
    <d v="2023-01-01T00:00:00"/>
    <x v="2"/>
    <d v="2023-03-01T00:00:00"/>
    <n v="2023"/>
  </r>
  <r>
    <x v="278"/>
    <x v="3"/>
    <x v="2"/>
    <s v="ART022"/>
    <d v="2023-01-09T00:00:00"/>
    <x v="1"/>
    <x v="6"/>
    <n v="10"/>
    <n v="66619"/>
    <n v="666190"/>
    <n v="325557"/>
    <n v="123459"/>
    <n v="217174"/>
    <n v="49"/>
    <x v="4"/>
    <s v="Monday"/>
    <d v="2023-01-08T00:00:00"/>
    <d v="2023-01-01T00:00:00"/>
    <x v="8"/>
    <d v="2023-01-01T00:00:00"/>
    <n v="2023"/>
  </r>
  <r>
    <x v="279"/>
    <x v="1"/>
    <x v="0"/>
    <s v="ART039"/>
    <d v="2023-11-22T00:00:00"/>
    <x v="2"/>
    <x v="4"/>
    <n v="9"/>
    <n v="3737"/>
    <n v="33633"/>
    <n v="14404"/>
    <n v="4098"/>
    <n v="15131"/>
    <n v="46"/>
    <x v="2"/>
    <s v="Wednesday"/>
    <d v="2023-11-19T00:00:00"/>
    <d v="2023-10-01T00:00:00"/>
    <x v="10"/>
    <d v="2023-11-01T00:00:00"/>
    <n v="2023"/>
  </r>
  <r>
    <x v="280"/>
    <x v="3"/>
    <x v="2"/>
    <s v="ART034"/>
    <d v="2023-10-11T00:00:00"/>
    <x v="3"/>
    <x v="1"/>
    <n v="1"/>
    <n v="36697"/>
    <n v="36697"/>
    <n v="17516"/>
    <n v="5071"/>
    <n v="14110"/>
    <n v="18"/>
    <x v="3"/>
    <s v="Wednesday"/>
    <d v="2023-10-08T00:00:00"/>
    <d v="2023-10-01T00:00:00"/>
    <x v="3"/>
    <d v="2023-10-01T00:00:00"/>
    <n v="2023"/>
  </r>
  <r>
    <x v="281"/>
    <x v="2"/>
    <x v="1"/>
    <s v="ART045"/>
    <d v="2023-01-11T00:00:00"/>
    <x v="2"/>
    <x v="6"/>
    <n v="6"/>
    <n v="50714"/>
    <n v="304284"/>
    <n v="110614"/>
    <n v="58514"/>
    <n v="135156"/>
    <n v="3"/>
    <x v="4"/>
    <s v="Wednesday"/>
    <d v="2023-01-08T00:00:00"/>
    <d v="2023-01-01T00:00:00"/>
    <x v="8"/>
    <d v="2023-01-01T00:00:00"/>
    <n v="2023"/>
  </r>
  <r>
    <x v="282"/>
    <x v="4"/>
    <x v="2"/>
    <s v="ART017"/>
    <d v="2023-06-08T00:00:00"/>
    <x v="2"/>
    <x v="3"/>
    <n v="10"/>
    <n v="15529"/>
    <n v="155290"/>
    <n v="84476"/>
    <n v="20061"/>
    <n v="50753"/>
    <n v="5"/>
    <x v="1"/>
    <s v="Thursday"/>
    <d v="2023-06-04T00:00:00"/>
    <d v="2023-04-01T00:00:00"/>
    <x v="1"/>
    <d v="2023-06-01T00:00:00"/>
    <n v="2023"/>
  </r>
  <r>
    <x v="283"/>
    <x v="1"/>
    <x v="0"/>
    <s v="ART012"/>
    <d v="2023-06-11T00:00:00"/>
    <x v="3"/>
    <x v="0"/>
    <n v="4"/>
    <n v="16363"/>
    <n v="65452"/>
    <n v="21080"/>
    <n v="11931"/>
    <n v="32441"/>
    <n v="24"/>
    <x v="0"/>
    <s v="Sunday"/>
    <d v="2023-06-11T00:00:00"/>
    <d v="2023-04-01T00:00:00"/>
    <x v="1"/>
    <d v="2023-06-01T00:00:00"/>
    <n v="2023"/>
  </r>
  <r>
    <x v="284"/>
    <x v="2"/>
    <x v="1"/>
    <s v="ART019"/>
    <d v="2023-10-03T00:00:00"/>
    <x v="2"/>
    <x v="6"/>
    <n v="10"/>
    <n v="3920"/>
    <n v="39200"/>
    <n v="18026"/>
    <n v="3983"/>
    <n v="17191"/>
    <n v="3"/>
    <x v="4"/>
    <s v="Tuesday"/>
    <d v="2023-10-01T00:00:00"/>
    <d v="2023-10-01T00:00:00"/>
    <x v="3"/>
    <d v="2023-10-01T00:00:00"/>
    <n v="2023"/>
  </r>
  <r>
    <x v="285"/>
    <x v="3"/>
    <x v="2"/>
    <s v="ART012"/>
    <d v="2023-11-10T00:00:00"/>
    <x v="0"/>
    <x v="3"/>
    <n v="3"/>
    <n v="27554"/>
    <n v="82662"/>
    <n v="39549"/>
    <n v="9854"/>
    <n v="33259"/>
    <n v="0"/>
    <x v="1"/>
    <s v="Friday"/>
    <d v="2023-11-05T00:00:00"/>
    <d v="2023-10-01T00:00:00"/>
    <x v="10"/>
    <d v="2023-11-01T00:00:00"/>
    <n v="2023"/>
  </r>
  <r>
    <x v="286"/>
    <x v="0"/>
    <x v="0"/>
    <s v="ART004"/>
    <d v="2023-07-27T00:00:00"/>
    <x v="3"/>
    <x v="0"/>
    <n v="3"/>
    <n v="42646"/>
    <n v="127938"/>
    <n v="46096"/>
    <n v="21110"/>
    <n v="60732"/>
    <n v="10"/>
    <x v="1"/>
    <s v="Thursday"/>
    <d v="2023-07-23T00:00:00"/>
    <d v="2023-07-01T00:00:00"/>
    <x v="0"/>
    <d v="2023-07-01T00:00:00"/>
    <n v="2023"/>
  </r>
  <r>
    <x v="287"/>
    <x v="0"/>
    <x v="0"/>
    <s v="ART040"/>
    <d v="2023-10-11T00:00:00"/>
    <x v="0"/>
    <x v="5"/>
    <n v="8"/>
    <n v="21385"/>
    <n v="171080"/>
    <n v="56211"/>
    <n v="19396"/>
    <n v="95473"/>
    <n v="21"/>
    <x v="0"/>
    <s v="Wednesday"/>
    <d v="2023-10-08T00:00:00"/>
    <d v="2023-10-01T00:00:00"/>
    <x v="3"/>
    <d v="2023-10-01T00:00:00"/>
    <n v="2023"/>
  </r>
  <r>
    <x v="288"/>
    <x v="0"/>
    <x v="0"/>
    <s v="ART027"/>
    <d v="2023-10-23T00:00:00"/>
    <x v="0"/>
    <x v="6"/>
    <n v="9"/>
    <n v="15630"/>
    <n v="140670"/>
    <n v="73121"/>
    <n v="26419"/>
    <n v="41130"/>
    <n v="41"/>
    <x v="3"/>
    <s v="Monday"/>
    <d v="2023-10-22T00:00:00"/>
    <d v="2023-10-01T00:00:00"/>
    <x v="3"/>
    <d v="2023-10-01T00:00:00"/>
    <n v="2023"/>
  </r>
  <r>
    <x v="289"/>
    <x v="0"/>
    <x v="0"/>
    <s v="ART022"/>
    <d v="2023-03-31T00:00:00"/>
    <x v="2"/>
    <x v="0"/>
    <n v="9"/>
    <n v="7493"/>
    <n v="67437"/>
    <n v="34356"/>
    <n v="7061"/>
    <n v="26020"/>
    <n v="1"/>
    <x v="3"/>
    <s v="Friday"/>
    <d v="2023-03-26T00:00:00"/>
    <d v="2023-01-01T00:00:00"/>
    <x v="2"/>
    <d v="2023-03-01T00:00:00"/>
    <n v="2023"/>
  </r>
  <r>
    <x v="290"/>
    <x v="4"/>
    <x v="2"/>
    <s v="ART030"/>
    <d v="2023-04-26T00:00:00"/>
    <x v="2"/>
    <x v="1"/>
    <n v="2"/>
    <n v="7167"/>
    <n v="14334"/>
    <n v="7721"/>
    <n v="1695"/>
    <n v="4918"/>
    <n v="24"/>
    <x v="4"/>
    <s v="Wednesday"/>
    <d v="2023-04-23T00:00:00"/>
    <d v="2023-04-01T00:00:00"/>
    <x v="5"/>
    <d v="2023-04-01T00:00:00"/>
    <n v="2023"/>
  </r>
  <r>
    <x v="291"/>
    <x v="0"/>
    <x v="0"/>
    <s v="ART033"/>
    <d v="2023-04-11T00:00:00"/>
    <x v="3"/>
    <x v="2"/>
    <n v="10"/>
    <n v="30368"/>
    <n v="303680"/>
    <n v="165580"/>
    <n v="48576"/>
    <n v="89524"/>
    <n v="6"/>
    <x v="1"/>
    <s v="Tuesday"/>
    <d v="2023-04-09T00:00:00"/>
    <d v="2023-04-01T00:00:00"/>
    <x v="5"/>
    <d v="2023-04-01T00:00:00"/>
    <n v="2023"/>
  </r>
  <r>
    <x v="292"/>
    <x v="0"/>
    <x v="0"/>
    <s v="ART046"/>
    <d v="2023-05-07T00:00:00"/>
    <x v="1"/>
    <x v="6"/>
    <n v="7"/>
    <n v="21796"/>
    <n v="152572"/>
    <n v="67728"/>
    <n v="30217"/>
    <n v="54627"/>
    <n v="35"/>
    <x v="1"/>
    <s v="Sunday"/>
    <d v="2023-05-07T00:00:00"/>
    <d v="2023-04-01T00:00:00"/>
    <x v="4"/>
    <d v="2023-05-01T00:00:00"/>
    <n v="2023"/>
  </r>
  <r>
    <x v="293"/>
    <x v="4"/>
    <x v="2"/>
    <s v="ART032"/>
    <d v="2023-06-04T00:00:00"/>
    <x v="3"/>
    <x v="2"/>
    <n v="6"/>
    <n v="30673"/>
    <n v="184038"/>
    <n v="59470"/>
    <n v="26567"/>
    <n v="98001"/>
    <n v="30"/>
    <x v="2"/>
    <s v="Sunday"/>
    <d v="2023-06-04T00:00:00"/>
    <d v="2023-04-01T00:00:00"/>
    <x v="1"/>
    <d v="2023-06-01T00:00:00"/>
    <n v="2023"/>
  </r>
  <r>
    <x v="294"/>
    <x v="2"/>
    <x v="1"/>
    <s v="ART033"/>
    <d v="2023-06-04T00:00:00"/>
    <x v="3"/>
    <x v="5"/>
    <n v="10"/>
    <n v="11097"/>
    <n v="110970"/>
    <n v="42223"/>
    <n v="16110"/>
    <n v="52637"/>
    <n v="50"/>
    <x v="4"/>
    <s v="Sunday"/>
    <d v="2023-06-04T00:00:00"/>
    <d v="2023-04-01T00:00:00"/>
    <x v="1"/>
    <d v="2023-06-01T00:00:00"/>
    <n v="2023"/>
  </r>
  <r>
    <x v="295"/>
    <x v="2"/>
    <x v="1"/>
    <s v="ART030"/>
    <d v="2023-05-15T00:00:00"/>
    <x v="2"/>
    <x v="0"/>
    <n v="10"/>
    <n v="64138"/>
    <n v="641380"/>
    <n v="343867"/>
    <n v="84373"/>
    <n v="213140"/>
    <n v="4"/>
    <x v="0"/>
    <s v="Monday"/>
    <d v="2023-05-14T00:00:00"/>
    <d v="2023-04-01T00:00:00"/>
    <x v="4"/>
    <d v="2023-05-01T00:00:00"/>
    <n v="2023"/>
  </r>
  <r>
    <x v="296"/>
    <x v="1"/>
    <x v="0"/>
    <s v="ART005"/>
    <d v="2023-11-19T00:00:00"/>
    <x v="0"/>
    <x v="3"/>
    <n v="3"/>
    <n v="50744"/>
    <n v="152232"/>
    <n v="65393"/>
    <n v="20896"/>
    <n v="65943"/>
    <n v="36"/>
    <x v="2"/>
    <s v="Sunday"/>
    <d v="2023-11-19T00:00:00"/>
    <d v="2023-10-01T00:00:00"/>
    <x v="10"/>
    <d v="2023-11-01T00:00:00"/>
    <n v="2023"/>
  </r>
  <r>
    <x v="297"/>
    <x v="3"/>
    <x v="2"/>
    <s v="ART019"/>
    <d v="2023-06-28T00:00:00"/>
    <x v="0"/>
    <x v="4"/>
    <n v="4"/>
    <n v="50173"/>
    <n v="200692"/>
    <n v="117925"/>
    <n v="33886"/>
    <n v="48881"/>
    <n v="25"/>
    <x v="3"/>
    <s v="Wednesday"/>
    <d v="2023-06-25T00:00:00"/>
    <d v="2023-04-01T00:00:00"/>
    <x v="1"/>
    <d v="2023-06-01T00:00:00"/>
    <n v="2023"/>
  </r>
  <r>
    <x v="298"/>
    <x v="1"/>
    <x v="0"/>
    <s v="ART010"/>
    <d v="2023-02-16T00:00:00"/>
    <x v="0"/>
    <x v="3"/>
    <n v="6"/>
    <n v="44747"/>
    <n v="268482"/>
    <n v="145243"/>
    <n v="53562"/>
    <n v="69677"/>
    <n v="25"/>
    <x v="2"/>
    <s v="Thursday"/>
    <d v="2023-02-12T00:00:00"/>
    <d v="2023-01-01T00:00:00"/>
    <x v="6"/>
    <d v="2023-02-01T00:00:00"/>
    <n v="2023"/>
  </r>
  <r>
    <x v="299"/>
    <x v="4"/>
    <x v="2"/>
    <s v="ART034"/>
    <d v="2023-03-27T00:00:00"/>
    <x v="2"/>
    <x v="5"/>
    <n v="1"/>
    <n v="7520"/>
    <n v="7520"/>
    <n v="2462"/>
    <n v="1094"/>
    <n v="3964"/>
    <n v="26"/>
    <x v="0"/>
    <s v="Monday"/>
    <d v="2023-03-26T00:00:00"/>
    <d v="2023-01-01T00:00:00"/>
    <x v="2"/>
    <d v="2023-03-01T00:00:00"/>
    <n v="2023"/>
  </r>
  <r>
    <x v="300"/>
    <x v="4"/>
    <x v="2"/>
    <s v="ART034"/>
    <d v="2023-10-23T00:00:00"/>
    <x v="1"/>
    <x v="0"/>
    <n v="2"/>
    <n v="14754"/>
    <n v="29508"/>
    <n v="15904"/>
    <n v="3077"/>
    <n v="10527"/>
    <n v="41"/>
    <x v="1"/>
    <s v="Monday"/>
    <d v="2023-10-22T00:00:00"/>
    <d v="2023-10-01T00:00:00"/>
    <x v="3"/>
    <d v="2023-10-01T00:00:00"/>
    <n v="2023"/>
  </r>
  <r>
    <x v="301"/>
    <x v="1"/>
    <x v="0"/>
    <s v="ART008"/>
    <d v="2023-06-11T00:00:00"/>
    <x v="1"/>
    <x v="0"/>
    <n v="1"/>
    <n v="20937"/>
    <n v="20937"/>
    <n v="11339"/>
    <n v="3744"/>
    <n v="5854"/>
    <n v="10"/>
    <x v="4"/>
    <s v="Sunday"/>
    <d v="2023-06-11T00:00:00"/>
    <d v="2023-04-01T00:00:00"/>
    <x v="1"/>
    <d v="2023-06-01T00:00:00"/>
    <n v="2023"/>
  </r>
  <r>
    <x v="302"/>
    <x v="0"/>
    <x v="0"/>
    <s v="ART001"/>
    <d v="2023-11-08T00:00:00"/>
    <x v="0"/>
    <x v="6"/>
    <n v="5"/>
    <n v="61866"/>
    <n v="309330"/>
    <n v="112145"/>
    <n v="59341"/>
    <n v="137844"/>
    <n v="47"/>
    <x v="0"/>
    <s v="Wednesday"/>
    <d v="2023-11-05T00:00:00"/>
    <d v="2023-10-01T00:00:00"/>
    <x v="10"/>
    <d v="2023-11-01T00:00:00"/>
    <n v="2023"/>
  </r>
  <r>
    <x v="303"/>
    <x v="4"/>
    <x v="2"/>
    <s v="ART038"/>
    <d v="2023-06-13T00:00:00"/>
    <x v="3"/>
    <x v="2"/>
    <n v="10"/>
    <n v="56539"/>
    <n v="565390"/>
    <n v="282496"/>
    <n v="78001"/>
    <n v="204893"/>
    <n v="10"/>
    <x v="2"/>
    <s v="Tuesday"/>
    <d v="2023-06-11T00:00:00"/>
    <d v="2023-04-01T00:00:00"/>
    <x v="1"/>
    <d v="2023-06-01T00:00:00"/>
    <n v="2023"/>
  </r>
  <r>
    <x v="304"/>
    <x v="4"/>
    <x v="2"/>
    <s v="ART002"/>
    <d v="2023-03-19T00:00:00"/>
    <x v="0"/>
    <x v="2"/>
    <n v="9"/>
    <n v="45845"/>
    <n v="412605"/>
    <n v="222874"/>
    <n v="59819"/>
    <n v="129912"/>
    <n v="8"/>
    <x v="3"/>
    <s v="Sunday"/>
    <d v="2023-03-19T00:00:00"/>
    <d v="2023-01-01T00:00:00"/>
    <x v="2"/>
    <d v="2023-03-01T00:00:00"/>
    <n v="2023"/>
  </r>
  <r>
    <x v="305"/>
    <x v="3"/>
    <x v="2"/>
    <s v="ART011"/>
    <d v="2023-08-19T00:00:00"/>
    <x v="0"/>
    <x v="4"/>
    <n v="9"/>
    <n v="41979"/>
    <n v="377811"/>
    <n v="198158"/>
    <n v="73967"/>
    <n v="105686"/>
    <n v="29"/>
    <x v="2"/>
    <s v="Saturday"/>
    <d v="2023-08-13T00:00:00"/>
    <d v="2023-07-01T00:00:00"/>
    <x v="7"/>
    <d v="2023-08-01T00:00:00"/>
    <n v="2023"/>
  </r>
  <r>
    <x v="306"/>
    <x v="1"/>
    <x v="0"/>
    <s v="ART007"/>
    <d v="2023-07-14T00:00:00"/>
    <x v="0"/>
    <x v="3"/>
    <n v="3"/>
    <n v="6703"/>
    <n v="20109"/>
    <n v="11887"/>
    <n v="2570"/>
    <n v="5652"/>
    <n v="13"/>
    <x v="3"/>
    <s v="Friday"/>
    <d v="2023-07-09T00:00:00"/>
    <d v="2023-07-01T00:00:00"/>
    <x v="0"/>
    <d v="2023-07-01T00:00:00"/>
    <n v="2023"/>
  </r>
  <r>
    <x v="307"/>
    <x v="1"/>
    <x v="0"/>
    <s v="ART043"/>
    <d v="2023-09-05T00:00:00"/>
    <x v="0"/>
    <x v="2"/>
    <n v="5"/>
    <n v="15644"/>
    <n v="78220"/>
    <n v="35386"/>
    <n v="11158"/>
    <n v="31676"/>
    <n v="40"/>
    <x v="1"/>
    <s v="Tuesday"/>
    <d v="2023-09-03T00:00:00"/>
    <d v="2023-07-01T00:00:00"/>
    <x v="9"/>
    <d v="2023-09-01T00:00:00"/>
    <n v="2023"/>
  </r>
  <r>
    <x v="308"/>
    <x v="4"/>
    <x v="2"/>
    <s v="ART029"/>
    <d v="2023-09-21T00:00:00"/>
    <x v="3"/>
    <x v="3"/>
    <n v="7"/>
    <n v="17063"/>
    <n v="119441"/>
    <n v="63550"/>
    <n v="12674"/>
    <n v="43217"/>
    <n v="40"/>
    <x v="4"/>
    <s v="Thursday"/>
    <d v="2023-09-17T00:00:00"/>
    <d v="2023-07-01T00:00:00"/>
    <x v="9"/>
    <d v="2023-09-01T00:00:00"/>
    <n v="2023"/>
  </r>
  <r>
    <x v="309"/>
    <x v="2"/>
    <x v="1"/>
    <s v="ART043"/>
    <d v="2023-07-17T00:00:00"/>
    <x v="0"/>
    <x v="5"/>
    <n v="1"/>
    <n v="39959"/>
    <n v="39959"/>
    <n v="23577"/>
    <n v="5120"/>
    <n v="11262"/>
    <n v="13"/>
    <x v="0"/>
    <s v="Monday"/>
    <d v="2023-07-16T00:00:00"/>
    <d v="2023-07-01T00:00:00"/>
    <x v="0"/>
    <d v="2023-07-01T00:00:00"/>
    <n v="2023"/>
  </r>
  <r>
    <x v="310"/>
    <x v="2"/>
    <x v="1"/>
    <s v="ART044"/>
    <d v="2023-07-23T00:00:00"/>
    <x v="2"/>
    <x v="6"/>
    <n v="4"/>
    <n v="65631"/>
    <n v="262524"/>
    <n v="131894"/>
    <n v="34436"/>
    <n v="96194"/>
    <n v="40"/>
    <x v="3"/>
    <s v="Sunday"/>
    <d v="2023-07-23T00:00:00"/>
    <d v="2023-07-01T00:00:00"/>
    <x v="0"/>
    <d v="2023-07-01T00:00:00"/>
    <n v="2023"/>
  </r>
  <r>
    <x v="311"/>
    <x v="3"/>
    <x v="2"/>
    <s v="ART017"/>
    <d v="2023-04-02T00:00:00"/>
    <x v="3"/>
    <x v="1"/>
    <n v="8"/>
    <n v="47383"/>
    <n v="379064"/>
    <n v="148062"/>
    <n v="43602"/>
    <n v="187400"/>
    <n v="20"/>
    <x v="0"/>
    <s v="Sunday"/>
    <d v="2023-04-02T00:00:00"/>
    <d v="2023-04-01T00:00:00"/>
    <x v="5"/>
    <d v="2023-04-01T00:00:00"/>
    <n v="2023"/>
  </r>
  <r>
    <x v="312"/>
    <x v="1"/>
    <x v="0"/>
    <s v="ART024"/>
    <d v="2023-07-19T00:00:00"/>
    <x v="0"/>
    <x v="0"/>
    <n v="2"/>
    <n v="14534"/>
    <n v="29068"/>
    <n v="13494"/>
    <n v="4619"/>
    <n v="10955"/>
    <n v="25"/>
    <x v="2"/>
    <s v="Wednesday"/>
    <d v="2023-07-16T00:00:00"/>
    <d v="2023-07-01T00:00:00"/>
    <x v="0"/>
    <d v="2023-07-01T00:00:00"/>
    <n v="2023"/>
  </r>
  <r>
    <x v="313"/>
    <x v="1"/>
    <x v="0"/>
    <s v="ART041"/>
    <d v="2023-05-03T00:00:00"/>
    <x v="2"/>
    <x v="6"/>
    <n v="10"/>
    <n v="26670"/>
    <n v="266700"/>
    <n v="90699"/>
    <n v="34108"/>
    <n v="141893"/>
    <n v="46"/>
    <x v="3"/>
    <s v="Wednesday"/>
    <d v="2023-04-30T00:00:00"/>
    <d v="2023-04-01T00:00:00"/>
    <x v="4"/>
    <d v="2023-05-01T00:00:00"/>
    <n v="2023"/>
  </r>
  <r>
    <x v="314"/>
    <x v="0"/>
    <x v="0"/>
    <s v="ART015"/>
    <d v="2023-08-30T00:00:00"/>
    <x v="1"/>
    <x v="6"/>
    <n v="1"/>
    <n v="17092"/>
    <n v="17092"/>
    <n v="7471"/>
    <n v="2519"/>
    <n v="7102"/>
    <n v="4"/>
    <x v="1"/>
    <s v="Wednesday"/>
    <d v="2023-08-27T00:00:00"/>
    <d v="2023-07-01T00:00:00"/>
    <x v="7"/>
    <d v="2023-08-01T00:00:00"/>
    <n v="2023"/>
  </r>
  <r>
    <x v="315"/>
    <x v="3"/>
    <x v="2"/>
    <s v="ART037"/>
    <d v="2023-06-26T00:00:00"/>
    <x v="1"/>
    <x v="0"/>
    <n v="10"/>
    <n v="9448"/>
    <n v="94480"/>
    <n v="31177"/>
    <n v="15047"/>
    <n v="48256"/>
    <n v="40"/>
    <x v="2"/>
    <s v="Monday"/>
    <d v="2023-06-25T00:00:00"/>
    <d v="2023-04-01T00:00:00"/>
    <x v="1"/>
    <d v="2023-06-01T00:00:00"/>
    <n v="2023"/>
  </r>
  <r>
    <x v="316"/>
    <x v="2"/>
    <x v="1"/>
    <s v="ART026"/>
    <d v="2023-08-21T00:00:00"/>
    <x v="1"/>
    <x v="3"/>
    <n v="10"/>
    <n v="34755"/>
    <n v="347550"/>
    <n v="145038"/>
    <n v="52750"/>
    <n v="149762"/>
    <n v="15"/>
    <x v="3"/>
    <s v="Monday"/>
    <d v="2023-08-20T00:00:00"/>
    <d v="2023-07-01T00:00:00"/>
    <x v="7"/>
    <d v="2023-08-01T00:00:00"/>
    <n v="2023"/>
  </r>
  <r>
    <x v="317"/>
    <x v="0"/>
    <x v="0"/>
    <s v="ART047"/>
    <d v="2023-07-17T00:00:00"/>
    <x v="3"/>
    <x v="3"/>
    <n v="10"/>
    <n v="51058"/>
    <n v="510580"/>
    <n v="252097"/>
    <n v="90878"/>
    <n v="167605"/>
    <n v="18"/>
    <x v="4"/>
    <s v="Monday"/>
    <d v="2023-07-16T00:00:00"/>
    <d v="2023-07-01T00:00:00"/>
    <x v="0"/>
    <d v="2023-07-01T00:00:00"/>
    <n v="2023"/>
  </r>
  <r>
    <x v="318"/>
    <x v="0"/>
    <x v="0"/>
    <s v="ART044"/>
    <d v="2023-08-27T00:00:00"/>
    <x v="1"/>
    <x v="2"/>
    <n v="8"/>
    <n v="24788"/>
    <n v="198304"/>
    <n v="110397"/>
    <n v="20610"/>
    <n v="67297"/>
    <n v="14"/>
    <x v="1"/>
    <s v="Sunday"/>
    <d v="2023-08-27T00:00:00"/>
    <d v="2023-07-01T00:00:00"/>
    <x v="7"/>
    <d v="2023-08-01T00:00:00"/>
    <n v="2023"/>
  </r>
  <r>
    <x v="319"/>
    <x v="4"/>
    <x v="2"/>
    <s v="ART025"/>
    <d v="2023-03-07T00:00:00"/>
    <x v="2"/>
    <x v="2"/>
    <n v="3"/>
    <n v="67897"/>
    <n v="203691"/>
    <n v="64989"/>
    <n v="38493"/>
    <n v="100209"/>
    <n v="1"/>
    <x v="2"/>
    <s v="Tuesday"/>
    <d v="2023-03-05T00:00:00"/>
    <d v="2023-01-01T00:00:00"/>
    <x v="2"/>
    <d v="2023-03-01T00:00:00"/>
    <n v="2023"/>
  </r>
  <r>
    <x v="320"/>
    <x v="0"/>
    <x v="0"/>
    <s v="ART009"/>
    <d v="2023-10-06T00:00:00"/>
    <x v="1"/>
    <x v="6"/>
    <n v="3"/>
    <n v="22985"/>
    <n v="68955"/>
    <n v="31997"/>
    <n v="9294"/>
    <n v="27664"/>
    <n v="3"/>
    <x v="2"/>
    <s v="Friday"/>
    <d v="2023-10-01T00:00:00"/>
    <d v="2023-10-01T00:00:00"/>
    <x v="3"/>
    <d v="2023-10-01T00:00:00"/>
    <n v="2023"/>
  </r>
  <r>
    <x v="321"/>
    <x v="2"/>
    <x v="1"/>
    <s v="ART030"/>
    <d v="2023-08-04T00:00:00"/>
    <x v="0"/>
    <x v="5"/>
    <n v="1"/>
    <n v="34211"/>
    <n v="34211"/>
    <n v="16987"/>
    <n v="4976"/>
    <n v="12248"/>
    <n v="20"/>
    <x v="4"/>
    <s v="Friday"/>
    <d v="2023-07-30T00:00:00"/>
    <d v="2023-07-01T00:00:00"/>
    <x v="7"/>
    <d v="2023-08-01T00:00:00"/>
    <n v="2023"/>
  </r>
  <r>
    <x v="322"/>
    <x v="1"/>
    <x v="0"/>
    <s v="ART016"/>
    <d v="2023-06-06T00:00:00"/>
    <x v="2"/>
    <x v="1"/>
    <n v="2"/>
    <n v="6498"/>
    <n v="12996"/>
    <n v="6220"/>
    <n v="2132"/>
    <n v="4644"/>
    <n v="9"/>
    <x v="0"/>
    <s v="Tuesday"/>
    <d v="2023-06-04T00:00:00"/>
    <d v="2023-04-01T00:00:00"/>
    <x v="1"/>
    <d v="2023-06-01T00:00:00"/>
    <n v="2023"/>
  </r>
  <r>
    <x v="323"/>
    <x v="2"/>
    <x v="1"/>
    <s v="ART031"/>
    <d v="2023-08-11T00:00:00"/>
    <x v="2"/>
    <x v="2"/>
    <n v="4"/>
    <n v="53623"/>
    <n v="214492"/>
    <n v="95264"/>
    <n v="23656"/>
    <n v="95572"/>
    <n v="15"/>
    <x v="0"/>
    <s v="Friday"/>
    <d v="2023-08-06T00:00:00"/>
    <d v="2023-07-01T00:00:00"/>
    <x v="7"/>
    <d v="2023-08-01T00:00:00"/>
    <n v="2023"/>
  </r>
  <r>
    <x v="324"/>
    <x v="2"/>
    <x v="1"/>
    <s v="ART032"/>
    <d v="2023-07-09T00:00:00"/>
    <x v="3"/>
    <x v="5"/>
    <n v="6"/>
    <n v="34520"/>
    <n v="207120"/>
    <n v="90375"/>
    <n v="25499"/>
    <n v="91246"/>
    <n v="7"/>
    <x v="2"/>
    <s v="Sunday"/>
    <d v="2023-07-09T00:00:00"/>
    <d v="2023-07-01T00:00:00"/>
    <x v="0"/>
    <d v="2023-07-01T00:00:00"/>
    <n v="2023"/>
  </r>
  <r>
    <x v="325"/>
    <x v="0"/>
    <x v="0"/>
    <s v="ART050"/>
    <d v="2023-09-20T00:00:00"/>
    <x v="0"/>
    <x v="5"/>
    <n v="7"/>
    <n v="26169"/>
    <n v="183183"/>
    <n v="64898"/>
    <n v="19810"/>
    <n v="98475"/>
    <n v="47"/>
    <x v="4"/>
    <s v="Wednesday"/>
    <d v="2023-09-17T00:00:00"/>
    <d v="2023-07-01T00:00:00"/>
    <x v="9"/>
    <d v="2023-09-01T00:00:00"/>
    <n v="2023"/>
  </r>
  <r>
    <x v="326"/>
    <x v="2"/>
    <x v="1"/>
    <s v="ART033"/>
    <d v="2023-09-25T00:00:00"/>
    <x v="0"/>
    <x v="6"/>
    <n v="6"/>
    <n v="42172"/>
    <n v="253032"/>
    <n v="101792"/>
    <n v="43538"/>
    <n v="107702"/>
    <n v="13"/>
    <x v="3"/>
    <s v="Monday"/>
    <d v="2023-09-24T00:00:00"/>
    <d v="2023-07-01T00:00:00"/>
    <x v="9"/>
    <d v="2023-09-01T00:00:00"/>
    <n v="2023"/>
  </r>
  <r>
    <x v="327"/>
    <x v="0"/>
    <x v="0"/>
    <s v="ART032"/>
    <d v="2023-06-06T00:00:00"/>
    <x v="3"/>
    <x v="3"/>
    <n v="9"/>
    <n v="9946"/>
    <n v="89514"/>
    <n v="43012"/>
    <n v="16795"/>
    <n v="29707"/>
    <n v="19"/>
    <x v="0"/>
    <s v="Tuesday"/>
    <d v="2023-06-04T00:00:00"/>
    <d v="2023-04-01T00:00:00"/>
    <x v="1"/>
    <d v="2023-06-01T00:00:00"/>
    <n v="2023"/>
  </r>
  <r>
    <x v="328"/>
    <x v="2"/>
    <x v="1"/>
    <s v="ART038"/>
    <d v="2023-11-20T00:00:00"/>
    <x v="3"/>
    <x v="2"/>
    <n v="9"/>
    <n v="27212"/>
    <n v="244908"/>
    <n v="142914"/>
    <n v="34034"/>
    <n v="67960"/>
    <n v="10"/>
    <x v="0"/>
    <s v="Monday"/>
    <d v="2023-11-19T00:00:00"/>
    <d v="2023-10-01T00:00:00"/>
    <x v="10"/>
    <d v="2023-11-01T00:00:00"/>
    <n v="2023"/>
  </r>
  <r>
    <x v="329"/>
    <x v="0"/>
    <x v="0"/>
    <s v="ART041"/>
    <d v="2023-08-24T00:00:00"/>
    <x v="2"/>
    <x v="2"/>
    <n v="9"/>
    <n v="15191"/>
    <n v="136719"/>
    <n v="66542"/>
    <n v="20173"/>
    <n v="50004"/>
    <n v="8"/>
    <x v="2"/>
    <s v="Thursday"/>
    <d v="2023-08-20T00:00:00"/>
    <d v="2023-07-01T00:00:00"/>
    <x v="7"/>
    <d v="2023-08-01T00:00:00"/>
    <n v="2023"/>
  </r>
  <r>
    <x v="330"/>
    <x v="3"/>
    <x v="2"/>
    <s v="ART048"/>
    <d v="2023-09-18T00:00:00"/>
    <x v="3"/>
    <x v="6"/>
    <n v="6"/>
    <n v="46737"/>
    <n v="280422"/>
    <n v="148958"/>
    <n v="55162"/>
    <n v="76302"/>
    <n v="12"/>
    <x v="3"/>
    <s v="Monday"/>
    <d v="2023-09-17T00:00:00"/>
    <d v="2023-07-01T00:00:00"/>
    <x v="9"/>
    <d v="2023-09-01T00:00:00"/>
    <n v="2023"/>
  </r>
  <r>
    <x v="331"/>
    <x v="0"/>
    <x v="0"/>
    <s v="ART037"/>
    <d v="2023-04-19T00:00:00"/>
    <x v="2"/>
    <x v="4"/>
    <n v="10"/>
    <n v="28317"/>
    <n v="283170"/>
    <n v="102898"/>
    <n v="31262"/>
    <n v="149010"/>
    <n v="9"/>
    <x v="1"/>
    <s v="Wednesday"/>
    <d v="2023-04-16T00:00:00"/>
    <d v="2023-04-01T00:00:00"/>
    <x v="5"/>
    <d v="2023-04-01T00:00:00"/>
    <n v="2023"/>
  </r>
  <r>
    <x v="332"/>
    <x v="4"/>
    <x v="2"/>
    <s v="ART016"/>
    <d v="2023-05-12T00:00:00"/>
    <x v="0"/>
    <x v="5"/>
    <n v="5"/>
    <n v="21281"/>
    <n v="106405"/>
    <n v="51085"/>
    <n v="18237"/>
    <n v="37083"/>
    <n v="1"/>
    <x v="2"/>
    <s v="Friday"/>
    <d v="2023-05-07T00:00:00"/>
    <d v="2023-04-01T00:00:00"/>
    <x v="4"/>
    <d v="2023-05-01T00:00:00"/>
    <n v="2023"/>
  </r>
  <r>
    <x v="333"/>
    <x v="3"/>
    <x v="2"/>
    <s v="ART043"/>
    <d v="2023-11-08T00:00:00"/>
    <x v="0"/>
    <x v="0"/>
    <n v="1"/>
    <n v="38194"/>
    <n v="38194"/>
    <n v="17441"/>
    <n v="4022"/>
    <n v="16731"/>
    <n v="17"/>
    <x v="1"/>
    <s v="Wednesday"/>
    <d v="2023-11-05T00:00:00"/>
    <d v="2023-10-01T00:00:00"/>
    <x v="10"/>
    <d v="2023-11-01T00:00:00"/>
    <n v="2023"/>
  </r>
  <r>
    <x v="334"/>
    <x v="3"/>
    <x v="2"/>
    <s v="ART014"/>
    <d v="2023-09-05T00:00:00"/>
    <x v="1"/>
    <x v="6"/>
    <n v="4"/>
    <n v="13541"/>
    <n v="54164"/>
    <n v="26919"/>
    <n v="6100"/>
    <n v="21145"/>
    <n v="29"/>
    <x v="0"/>
    <s v="Tuesday"/>
    <d v="2023-09-03T00:00:00"/>
    <d v="2023-07-01T00:00:00"/>
    <x v="9"/>
    <d v="2023-09-01T00:00:00"/>
    <n v="2023"/>
  </r>
  <r>
    <x v="335"/>
    <x v="2"/>
    <x v="1"/>
    <s v="ART035"/>
    <d v="2023-05-30T00:00:00"/>
    <x v="3"/>
    <x v="4"/>
    <n v="1"/>
    <n v="45737"/>
    <n v="45737"/>
    <n v="18114"/>
    <n v="7501"/>
    <n v="20122"/>
    <n v="41"/>
    <x v="4"/>
    <s v="Tuesday"/>
    <d v="2023-05-28T00:00:00"/>
    <d v="2023-04-01T00:00:00"/>
    <x v="4"/>
    <d v="2023-05-01T00:00:00"/>
    <n v="2023"/>
  </r>
  <r>
    <x v="336"/>
    <x v="1"/>
    <x v="0"/>
    <s v="ART016"/>
    <d v="2023-05-22T00:00:00"/>
    <x v="2"/>
    <x v="5"/>
    <n v="1"/>
    <n v="37719"/>
    <n v="37719"/>
    <n v="21713"/>
    <n v="3983"/>
    <n v="12023"/>
    <n v="2"/>
    <x v="0"/>
    <s v="Monday"/>
    <d v="2023-05-21T00:00:00"/>
    <d v="2023-04-01T00:00:00"/>
    <x v="4"/>
    <d v="2023-05-01T00:00:00"/>
    <n v="2023"/>
  </r>
  <r>
    <x v="337"/>
    <x v="0"/>
    <x v="0"/>
    <s v="ART045"/>
    <d v="2023-07-13T00:00:00"/>
    <x v="3"/>
    <x v="1"/>
    <n v="1"/>
    <n v="63588"/>
    <n v="63588"/>
    <n v="34350"/>
    <n v="7456"/>
    <n v="21782"/>
    <n v="0"/>
    <x v="3"/>
    <s v="Thursday"/>
    <d v="2023-07-09T00:00:00"/>
    <d v="2023-07-01T00:00:00"/>
    <x v="0"/>
    <d v="2023-07-01T00:00:00"/>
    <n v="2023"/>
  </r>
  <r>
    <x v="338"/>
    <x v="0"/>
    <x v="0"/>
    <s v="ART014"/>
    <d v="2023-07-05T00:00:00"/>
    <x v="1"/>
    <x v="3"/>
    <n v="4"/>
    <n v="26953"/>
    <n v="107812"/>
    <n v="61893"/>
    <n v="17678"/>
    <n v="28241"/>
    <n v="36"/>
    <x v="0"/>
    <s v="Wednesday"/>
    <d v="2023-07-02T00:00:00"/>
    <d v="2023-07-01T00:00:00"/>
    <x v="0"/>
    <d v="2023-07-01T00:00:00"/>
    <n v="2023"/>
  </r>
  <r>
    <x v="339"/>
    <x v="2"/>
    <x v="1"/>
    <s v="ART031"/>
    <d v="2023-04-11T00:00:00"/>
    <x v="1"/>
    <x v="6"/>
    <n v="7"/>
    <n v="11242"/>
    <n v="78694"/>
    <n v="38632"/>
    <n v="13101"/>
    <n v="26961"/>
    <n v="47"/>
    <x v="1"/>
    <s v="Tuesday"/>
    <d v="2023-04-09T00:00:00"/>
    <d v="2023-04-01T00:00:00"/>
    <x v="5"/>
    <d v="2023-04-01T00:00:00"/>
    <n v="2023"/>
  </r>
  <r>
    <x v="340"/>
    <x v="0"/>
    <x v="0"/>
    <s v="ART016"/>
    <d v="2023-07-19T00:00:00"/>
    <x v="3"/>
    <x v="6"/>
    <n v="7"/>
    <n v="17054"/>
    <n v="119378"/>
    <n v="70768"/>
    <n v="17192"/>
    <n v="31418"/>
    <n v="36"/>
    <x v="0"/>
    <s v="Wednesday"/>
    <d v="2023-07-16T00:00:00"/>
    <d v="2023-07-01T00:00:00"/>
    <x v="0"/>
    <d v="2023-07-01T00:00:00"/>
    <n v="2023"/>
  </r>
  <r>
    <x v="341"/>
    <x v="1"/>
    <x v="0"/>
    <s v="ART032"/>
    <d v="2023-06-04T00:00:00"/>
    <x v="2"/>
    <x v="2"/>
    <n v="9"/>
    <n v="23261"/>
    <n v="209349"/>
    <n v="124265"/>
    <n v="34062"/>
    <n v="51022"/>
    <n v="5"/>
    <x v="1"/>
    <s v="Sunday"/>
    <d v="2023-06-04T00:00:00"/>
    <d v="2023-04-01T00:00:00"/>
    <x v="1"/>
    <d v="2023-06-01T00:00:00"/>
    <n v="2023"/>
  </r>
  <r>
    <x v="342"/>
    <x v="2"/>
    <x v="1"/>
    <s v="ART022"/>
    <d v="2023-09-19T00:00:00"/>
    <x v="3"/>
    <x v="0"/>
    <n v="3"/>
    <n v="50235"/>
    <n v="150705"/>
    <n v="72527"/>
    <n v="16802"/>
    <n v="61376"/>
    <n v="50"/>
    <x v="2"/>
    <s v="Tuesday"/>
    <d v="2023-09-17T00:00:00"/>
    <d v="2023-07-01T00:00:00"/>
    <x v="9"/>
    <d v="2023-09-01T00:00:00"/>
    <n v="2023"/>
  </r>
  <r>
    <x v="343"/>
    <x v="4"/>
    <x v="2"/>
    <s v="ART022"/>
    <d v="2023-11-01T00:00:00"/>
    <x v="1"/>
    <x v="5"/>
    <n v="2"/>
    <n v="51586"/>
    <n v="103172"/>
    <n v="32956"/>
    <n v="18803"/>
    <n v="51413"/>
    <n v="2"/>
    <x v="3"/>
    <s v="Wednesday"/>
    <d v="2023-10-29T00:00:00"/>
    <d v="2023-10-01T00:00:00"/>
    <x v="10"/>
    <d v="2023-11-01T00:00:00"/>
    <n v="2023"/>
  </r>
  <r>
    <x v="344"/>
    <x v="1"/>
    <x v="0"/>
    <s v="ART032"/>
    <d v="2023-11-01T00:00:00"/>
    <x v="0"/>
    <x v="6"/>
    <n v="1"/>
    <n v="67366"/>
    <n v="67366"/>
    <n v="30594"/>
    <n v="10891"/>
    <n v="25881"/>
    <n v="0"/>
    <x v="0"/>
    <s v="Wednesday"/>
    <d v="2023-10-29T00:00:00"/>
    <d v="2023-10-01T00:00:00"/>
    <x v="10"/>
    <d v="2023-11-01T00:00:00"/>
    <n v="2023"/>
  </r>
  <r>
    <x v="345"/>
    <x v="3"/>
    <x v="2"/>
    <s v="ART010"/>
    <d v="2023-04-07T00:00:00"/>
    <x v="2"/>
    <x v="2"/>
    <n v="1"/>
    <n v="11718"/>
    <n v="11718"/>
    <n v="3739"/>
    <n v="1589"/>
    <n v="6390"/>
    <n v="37"/>
    <x v="4"/>
    <s v="Friday"/>
    <d v="2023-04-02T00:00:00"/>
    <d v="2023-04-01T00:00:00"/>
    <x v="5"/>
    <d v="2023-04-01T00:00:00"/>
    <n v="2023"/>
  </r>
  <r>
    <x v="346"/>
    <x v="2"/>
    <x v="1"/>
    <s v="ART002"/>
    <d v="2023-05-08T00:00:00"/>
    <x v="1"/>
    <x v="3"/>
    <n v="7"/>
    <n v="52564"/>
    <n v="367948"/>
    <n v="126396"/>
    <n v="51718"/>
    <n v="189834"/>
    <n v="45"/>
    <x v="0"/>
    <s v="Monday"/>
    <d v="2023-05-07T00:00:00"/>
    <d v="2023-04-01T00:00:00"/>
    <x v="4"/>
    <d v="2023-05-01T00:00:00"/>
    <n v="2023"/>
  </r>
  <r>
    <x v="347"/>
    <x v="2"/>
    <x v="1"/>
    <s v="ART027"/>
    <d v="2023-09-14T00:00:00"/>
    <x v="3"/>
    <x v="6"/>
    <n v="5"/>
    <n v="29884"/>
    <n v="149420"/>
    <n v="58476"/>
    <n v="17969"/>
    <n v="72975"/>
    <n v="4"/>
    <x v="3"/>
    <s v="Thursday"/>
    <d v="2023-09-10T00:00:00"/>
    <d v="2023-07-01T00:00:00"/>
    <x v="9"/>
    <d v="2023-09-01T00:00:00"/>
    <n v="2023"/>
  </r>
  <r>
    <x v="348"/>
    <x v="2"/>
    <x v="1"/>
    <s v="ART027"/>
    <d v="2023-06-29T00:00:00"/>
    <x v="0"/>
    <x v="3"/>
    <n v="8"/>
    <n v="68614"/>
    <n v="548912"/>
    <n v="320597"/>
    <n v="95150"/>
    <n v="133165"/>
    <n v="22"/>
    <x v="1"/>
    <s v="Thursday"/>
    <d v="2023-06-25T00:00:00"/>
    <d v="2023-04-01T00:00:00"/>
    <x v="1"/>
    <d v="2023-06-01T00:00:00"/>
    <n v="2023"/>
  </r>
  <r>
    <x v="349"/>
    <x v="0"/>
    <x v="0"/>
    <s v="ART013"/>
    <d v="2023-01-11T00:00:00"/>
    <x v="1"/>
    <x v="1"/>
    <n v="7"/>
    <n v="38270"/>
    <n v="267890"/>
    <n v="110854"/>
    <n v="39138"/>
    <n v="117898"/>
    <n v="8"/>
    <x v="2"/>
    <s v="Wednesday"/>
    <d v="2023-01-08T00:00:00"/>
    <d v="2023-01-01T00:00:00"/>
    <x v="8"/>
    <d v="2023-01-01T00:00:00"/>
    <n v="2023"/>
  </r>
  <r>
    <x v="350"/>
    <x v="3"/>
    <x v="2"/>
    <s v="ART042"/>
    <d v="2023-08-28T00:00:00"/>
    <x v="2"/>
    <x v="0"/>
    <n v="7"/>
    <n v="32026"/>
    <n v="224182"/>
    <n v="77770"/>
    <n v="42290"/>
    <n v="104122"/>
    <n v="49"/>
    <x v="3"/>
    <s v="Monday"/>
    <d v="2023-08-27T00:00:00"/>
    <d v="2023-07-01T00:00:00"/>
    <x v="7"/>
    <d v="2023-08-01T00:00:00"/>
    <n v="2023"/>
  </r>
  <r>
    <x v="351"/>
    <x v="3"/>
    <x v="2"/>
    <s v="ART033"/>
    <d v="2023-07-12T00:00:00"/>
    <x v="2"/>
    <x v="2"/>
    <n v="4"/>
    <n v="17882"/>
    <n v="71528"/>
    <n v="35941"/>
    <n v="7850"/>
    <n v="27737"/>
    <n v="44"/>
    <x v="2"/>
    <s v="Wednesday"/>
    <d v="2023-07-09T00:00:00"/>
    <d v="2023-07-01T00:00:00"/>
    <x v="0"/>
    <d v="2023-07-01T00:00:00"/>
    <n v="2023"/>
  </r>
  <r>
    <x v="352"/>
    <x v="0"/>
    <x v="0"/>
    <s v="ART026"/>
    <d v="2023-06-24T00:00:00"/>
    <x v="1"/>
    <x v="2"/>
    <n v="1"/>
    <n v="17855"/>
    <n v="17855"/>
    <n v="7553"/>
    <n v="2281"/>
    <n v="8021"/>
    <n v="15"/>
    <x v="2"/>
    <s v="Saturday"/>
    <d v="2023-06-18T00:00:00"/>
    <d v="2023-04-01T00:00:00"/>
    <x v="1"/>
    <d v="2023-06-01T00:00:00"/>
    <n v="2023"/>
  </r>
  <r>
    <x v="353"/>
    <x v="0"/>
    <x v="0"/>
    <s v="ART017"/>
    <d v="2023-10-25T00:00:00"/>
    <x v="1"/>
    <x v="3"/>
    <n v="6"/>
    <n v="2910"/>
    <n v="17460"/>
    <n v="5936"/>
    <n v="2614"/>
    <n v="8910"/>
    <n v="40"/>
    <x v="2"/>
    <s v="Wednesday"/>
    <d v="2023-10-22T00:00:00"/>
    <d v="2023-10-01T00:00:00"/>
    <x v="3"/>
    <d v="2023-10-01T00:00:00"/>
    <n v="2023"/>
  </r>
  <r>
    <x v="354"/>
    <x v="4"/>
    <x v="2"/>
    <s v="ART001"/>
    <d v="2023-07-25T00:00:00"/>
    <x v="1"/>
    <x v="6"/>
    <n v="4"/>
    <n v="13250"/>
    <n v="53000"/>
    <n v="24060"/>
    <n v="8993"/>
    <n v="19947"/>
    <n v="49"/>
    <x v="4"/>
    <s v="Tuesday"/>
    <d v="2023-07-23T00:00:00"/>
    <d v="2023-07-01T00:00:00"/>
    <x v="0"/>
    <d v="2023-07-01T00:00:00"/>
    <n v="2023"/>
  </r>
  <r>
    <x v="355"/>
    <x v="4"/>
    <x v="2"/>
    <s v="ART023"/>
    <d v="2023-01-13T00:00:00"/>
    <x v="0"/>
    <x v="0"/>
    <n v="9"/>
    <n v="50388"/>
    <n v="453492"/>
    <n v="259733"/>
    <n v="84090"/>
    <n v="109669"/>
    <n v="37"/>
    <x v="0"/>
    <s v="Friday"/>
    <d v="2023-01-08T00:00:00"/>
    <d v="2023-01-01T00:00:00"/>
    <x v="8"/>
    <d v="2023-01-01T00:00:00"/>
    <n v="2023"/>
  </r>
  <r>
    <x v="356"/>
    <x v="2"/>
    <x v="1"/>
    <s v="ART005"/>
    <d v="2023-10-30T00:00:00"/>
    <x v="1"/>
    <x v="6"/>
    <n v="8"/>
    <n v="10347"/>
    <n v="82776"/>
    <n v="32497"/>
    <n v="11158"/>
    <n v="39121"/>
    <n v="10"/>
    <x v="2"/>
    <s v="Monday"/>
    <d v="2023-10-29T00:00:00"/>
    <d v="2023-10-01T00:00:00"/>
    <x v="3"/>
    <d v="2023-10-01T00:00:00"/>
    <n v="2023"/>
  </r>
  <r>
    <x v="357"/>
    <x v="0"/>
    <x v="0"/>
    <s v="ART044"/>
    <d v="2023-09-10T00:00:00"/>
    <x v="2"/>
    <x v="3"/>
    <n v="9"/>
    <n v="47302"/>
    <n v="425718"/>
    <n v="175581"/>
    <n v="69049"/>
    <n v="181088"/>
    <n v="37"/>
    <x v="3"/>
    <s v="Sunday"/>
    <d v="2023-09-10T00:00:00"/>
    <d v="2023-07-01T00:00:00"/>
    <x v="9"/>
    <d v="2023-09-01T00:00:00"/>
    <n v="2023"/>
  </r>
  <r>
    <x v="358"/>
    <x v="4"/>
    <x v="2"/>
    <s v="ART038"/>
    <d v="2023-07-15T00:00:00"/>
    <x v="3"/>
    <x v="3"/>
    <n v="3"/>
    <n v="29500"/>
    <n v="88500"/>
    <n v="49537"/>
    <n v="15422"/>
    <n v="23541"/>
    <n v="3"/>
    <x v="1"/>
    <s v="Saturday"/>
    <d v="2023-07-09T00:00:00"/>
    <d v="2023-07-01T00:00:00"/>
    <x v="0"/>
    <d v="2023-07-01T00:00:00"/>
    <n v="2023"/>
  </r>
  <r>
    <x v="359"/>
    <x v="1"/>
    <x v="0"/>
    <s v="ART033"/>
    <d v="2023-09-09T00:00:00"/>
    <x v="3"/>
    <x v="1"/>
    <n v="7"/>
    <n v="15414"/>
    <n v="107898"/>
    <n v="48494"/>
    <n v="16798"/>
    <n v="42606"/>
    <n v="11"/>
    <x v="1"/>
    <s v="Saturday"/>
    <d v="2023-09-03T00:00:00"/>
    <d v="2023-07-01T00:00:00"/>
    <x v="9"/>
    <d v="2023-09-01T00:00:00"/>
    <n v="2023"/>
  </r>
  <r>
    <x v="360"/>
    <x v="0"/>
    <x v="0"/>
    <s v="ART016"/>
    <d v="2023-02-27T00:00:00"/>
    <x v="0"/>
    <x v="1"/>
    <n v="10"/>
    <n v="26139"/>
    <n v="261390"/>
    <n v="105516"/>
    <n v="37975"/>
    <n v="117899"/>
    <n v="38"/>
    <x v="3"/>
    <s v="Monday"/>
    <d v="2023-02-26T00:00:00"/>
    <d v="2023-01-01T00:00:00"/>
    <x v="6"/>
    <d v="2023-02-01T00:00:00"/>
    <n v="2023"/>
  </r>
  <r>
    <x v="361"/>
    <x v="3"/>
    <x v="2"/>
    <s v="ART037"/>
    <d v="2023-07-15T00:00:00"/>
    <x v="3"/>
    <x v="1"/>
    <n v="1"/>
    <n v="7738"/>
    <n v="7738"/>
    <n v="2668"/>
    <n v="808"/>
    <n v="4262"/>
    <n v="19"/>
    <x v="2"/>
    <s v="Saturday"/>
    <d v="2023-07-09T00:00:00"/>
    <d v="2023-07-01T00:00:00"/>
    <x v="0"/>
    <d v="2023-07-01T00:00:00"/>
    <n v="2023"/>
  </r>
  <r>
    <x v="362"/>
    <x v="0"/>
    <x v="0"/>
    <s v="ART032"/>
    <d v="2023-08-30T00:00:00"/>
    <x v="2"/>
    <x v="4"/>
    <n v="9"/>
    <n v="15162"/>
    <n v="136458"/>
    <n v="51748"/>
    <n v="24136"/>
    <n v="60574"/>
    <n v="50"/>
    <x v="0"/>
    <s v="Wednesday"/>
    <d v="2023-08-27T00:00:00"/>
    <d v="2023-07-01T00:00:00"/>
    <x v="7"/>
    <d v="2023-08-01T00:00:00"/>
    <n v="2023"/>
  </r>
  <r>
    <x v="363"/>
    <x v="3"/>
    <x v="2"/>
    <s v="ART002"/>
    <d v="2023-05-04T00:00:00"/>
    <x v="3"/>
    <x v="2"/>
    <n v="3"/>
    <n v="60883"/>
    <n v="182649"/>
    <n v="76100"/>
    <n v="29547"/>
    <n v="77002"/>
    <n v="23"/>
    <x v="2"/>
    <s v="Thursday"/>
    <d v="2023-04-30T00:00:00"/>
    <d v="2023-04-01T00:00:00"/>
    <x v="4"/>
    <d v="2023-05-01T00:00:00"/>
    <n v="2023"/>
  </r>
  <r>
    <x v="364"/>
    <x v="2"/>
    <x v="1"/>
    <s v="ART049"/>
    <d v="2023-02-23T00:00:00"/>
    <x v="1"/>
    <x v="1"/>
    <n v="3"/>
    <n v="58907"/>
    <n v="176721"/>
    <n v="98709"/>
    <n v="29392"/>
    <n v="48620"/>
    <n v="41"/>
    <x v="0"/>
    <s v="Thursday"/>
    <d v="2023-02-19T00:00:00"/>
    <d v="2023-01-01T00:00:00"/>
    <x v="6"/>
    <d v="2023-02-01T00:00:00"/>
    <n v="2023"/>
  </r>
  <r>
    <x v="365"/>
    <x v="4"/>
    <x v="2"/>
    <s v="ART044"/>
    <d v="2023-11-02T00:00:00"/>
    <x v="1"/>
    <x v="6"/>
    <n v="5"/>
    <n v="67657"/>
    <n v="338285"/>
    <n v="139229"/>
    <n v="38204"/>
    <n v="160852"/>
    <n v="41"/>
    <x v="2"/>
    <s v="Thursday"/>
    <d v="2023-10-29T00:00:00"/>
    <d v="2023-10-01T00:00:00"/>
    <x v="10"/>
    <d v="2023-11-01T00:00:00"/>
    <n v="2023"/>
  </r>
  <r>
    <x v="366"/>
    <x v="4"/>
    <x v="2"/>
    <s v="ART049"/>
    <d v="2023-07-19T00:00:00"/>
    <x v="3"/>
    <x v="5"/>
    <n v="6"/>
    <n v="3650"/>
    <n v="21900"/>
    <n v="12587"/>
    <n v="4331"/>
    <n v="4982"/>
    <n v="12"/>
    <x v="2"/>
    <s v="Wednesday"/>
    <d v="2023-07-16T00:00:00"/>
    <d v="2023-07-01T00:00:00"/>
    <x v="0"/>
    <d v="2023-07-01T00:00:00"/>
    <n v="2023"/>
  </r>
  <r>
    <x v="367"/>
    <x v="0"/>
    <x v="0"/>
    <s v="ART048"/>
    <d v="2023-09-29T00:00:00"/>
    <x v="0"/>
    <x v="3"/>
    <n v="6"/>
    <n v="28411"/>
    <n v="170466"/>
    <n v="84665"/>
    <n v="32337"/>
    <n v="53464"/>
    <n v="16"/>
    <x v="4"/>
    <s v="Friday"/>
    <d v="2023-09-24T00:00:00"/>
    <d v="2023-07-01T00:00:00"/>
    <x v="9"/>
    <d v="2023-09-01T00:00:00"/>
    <n v="2023"/>
  </r>
  <r>
    <x v="368"/>
    <x v="1"/>
    <x v="0"/>
    <s v="ART042"/>
    <d v="2023-03-11T00:00:00"/>
    <x v="1"/>
    <x v="4"/>
    <n v="5"/>
    <n v="12931"/>
    <n v="64655"/>
    <n v="23567"/>
    <n v="7283"/>
    <n v="33805"/>
    <n v="14"/>
    <x v="4"/>
    <s v="Saturday"/>
    <d v="2023-03-05T00:00:00"/>
    <d v="2023-01-01T00:00:00"/>
    <x v="2"/>
    <d v="2023-03-01T00:00:00"/>
    <n v="2023"/>
  </r>
  <r>
    <x v="369"/>
    <x v="3"/>
    <x v="2"/>
    <s v="ART043"/>
    <d v="2023-07-20T00:00:00"/>
    <x v="3"/>
    <x v="4"/>
    <n v="7"/>
    <n v="46257"/>
    <n v="323799"/>
    <n v="160096"/>
    <n v="38437"/>
    <n v="125266"/>
    <n v="2"/>
    <x v="3"/>
    <s v="Thursday"/>
    <d v="2023-07-16T00:00:00"/>
    <d v="2023-07-01T00:00:00"/>
    <x v="0"/>
    <d v="2023-07-01T00:00:00"/>
    <n v="2023"/>
  </r>
  <r>
    <x v="370"/>
    <x v="0"/>
    <x v="0"/>
    <s v="ART019"/>
    <d v="2023-06-13T00:00:00"/>
    <x v="2"/>
    <x v="4"/>
    <n v="5"/>
    <n v="36286"/>
    <n v="181430"/>
    <n v="71359"/>
    <n v="31630"/>
    <n v="78441"/>
    <n v="25"/>
    <x v="1"/>
    <s v="Tuesday"/>
    <d v="2023-06-11T00:00:00"/>
    <d v="2023-04-01T00:00:00"/>
    <x v="1"/>
    <d v="2023-06-01T00:00:00"/>
    <n v="2023"/>
  </r>
  <r>
    <x v="371"/>
    <x v="0"/>
    <x v="0"/>
    <s v="ART024"/>
    <d v="2023-08-31T00:00:00"/>
    <x v="0"/>
    <x v="3"/>
    <n v="6"/>
    <n v="34694"/>
    <n v="208164"/>
    <n v="81022"/>
    <n v="35167"/>
    <n v="91975"/>
    <n v="7"/>
    <x v="2"/>
    <s v="Thursday"/>
    <d v="2023-08-27T00:00:00"/>
    <d v="2023-07-01T00:00:00"/>
    <x v="7"/>
    <d v="2023-08-01T00:00:00"/>
    <n v="2023"/>
  </r>
  <r>
    <x v="372"/>
    <x v="1"/>
    <x v="0"/>
    <s v="ART048"/>
    <d v="2023-04-22T00:00:00"/>
    <x v="2"/>
    <x v="6"/>
    <n v="10"/>
    <n v="38999"/>
    <n v="389990"/>
    <n v="177817"/>
    <n v="76734"/>
    <n v="135439"/>
    <n v="40"/>
    <x v="0"/>
    <s v="Saturday"/>
    <d v="2023-04-16T00:00:00"/>
    <d v="2023-04-01T00:00:00"/>
    <x v="5"/>
    <d v="2023-04-01T00:00:00"/>
    <n v="2023"/>
  </r>
  <r>
    <x v="373"/>
    <x v="1"/>
    <x v="0"/>
    <s v="ART024"/>
    <d v="2023-09-09T00:00:00"/>
    <x v="1"/>
    <x v="0"/>
    <n v="7"/>
    <n v="21201"/>
    <n v="148407"/>
    <n v="57854"/>
    <n v="21996"/>
    <n v="68557"/>
    <n v="2"/>
    <x v="4"/>
    <s v="Saturday"/>
    <d v="2023-09-03T00:00:00"/>
    <d v="2023-07-01T00:00:00"/>
    <x v="9"/>
    <d v="2023-09-01T00:00:00"/>
    <n v="2023"/>
  </r>
  <r>
    <x v="374"/>
    <x v="0"/>
    <x v="0"/>
    <s v="ART015"/>
    <d v="2023-07-02T00:00:00"/>
    <x v="0"/>
    <x v="5"/>
    <n v="5"/>
    <n v="42382"/>
    <n v="211910"/>
    <n v="102434"/>
    <n v="37741"/>
    <n v="71735"/>
    <n v="23"/>
    <x v="4"/>
    <s v="Sunday"/>
    <d v="2023-07-02T00:00:00"/>
    <d v="2023-07-01T00:00:00"/>
    <x v="0"/>
    <d v="2023-07-01T00:00:00"/>
    <n v="2023"/>
  </r>
  <r>
    <x v="375"/>
    <x v="4"/>
    <x v="2"/>
    <s v="ART024"/>
    <d v="2023-11-11T00:00:00"/>
    <x v="2"/>
    <x v="2"/>
    <n v="8"/>
    <n v="65178"/>
    <n v="521424"/>
    <n v="157921"/>
    <n v="77125"/>
    <n v="286378"/>
    <n v="46"/>
    <x v="4"/>
    <s v="Saturday"/>
    <d v="2023-11-05T00:00:00"/>
    <d v="2023-10-01T00:00:00"/>
    <x v="10"/>
    <d v="2023-11-01T00:00:00"/>
    <n v="2023"/>
  </r>
  <r>
    <x v="376"/>
    <x v="0"/>
    <x v="0"/>
    <s v="ART021"/>
    <d v="2023-05-31T00:00:00"/>
    <x v="2"/>
    <x v="1"/>
    <n v="8"/>
    <n v="29633"/>
    <n v="237064"/>
    <n v="91020"/>
    <n v="44013"/>
    <n v="102031"/>
    <n v="4"/>
    <x v="2"/>
    <s v="Wednesday"/>
    <d v="2023-05-28T00:00:00"/>
    <d v="2023-04-01T00:00:00"/>
    <x v="4"/>
    <d v="2023-05-01T00:00:00"/>
    <n v="2023"/>
  </r>
  <r>
    <x v="377"/>
    <x v="1"/>
    <x v="0"/>
    <s v="ART011"/>
    <d v="2023-04-06T00:00:00"/>
    <x v="1"/>
    <x v="4"/>
    <n v="6"/>
    <n v="9429"/>
    <n v="56574"/>
    <n v="19654"/>
    <n v="8419"/>
    <n v="28501"/>
    <n v="33"/>
    <x v="2"/>
    <s v="Thursday"/>
    <d v="2023-04-02T00:00:00"/>
    <d v="2023-04-01T00:00:00"/>
    <x v="5"/>
    <d v="2023-04-01T00:00:00"/>
    <n v="2023"/>
  </r>
  <r>
    <x v="378"/>
    <x v="3"/>
    <x v="2"/>
    <s v="ART001"/>
    <d v="2023-02-01T00:00:00"/>
    <x v="2"/>
    <x v="5"/>
    <n v="6"/>
    <n v="13905"/>
    <n v="83430"/>
    <n v="35384"/>
    <n v="14292"/>
    <n v="33754"/>
    <n v="43"/>
    <x v="1"/>
    <s v="Wednesday"/>
    <d v="2023-01-29T00:00:00"/>
    <d v="2023-01-01T00:00:00"/>
    <x v="6"/>
    <d v="2023-02-01T00:00:00"/>
    <n v="2023"/>
  </r>
  <r>
    <x v="379"/>
    <x v="0"/>
    <x v="0"/>
    <s v="ART007"/>
    <d v="2023-03-23T00:00:00"/>
    <x v="2"/>
    <x v="4"/>
    <n v="3"/>
    <n v="65438"/>
    <n v="196314"/>
    <n v="78923"/>
    <n v="30458"/>
    <n v="86933"/>
    <n v="34"/>
    <x v="1"/>
    <s v="Thursday"/>
    <d v="2023-03-19T00:00:00"/>
    <d v="2023-01-01T00:00:00"/>
    <x v="2"/>
    <d v="2023-03-01T00:00:00"/>
    <n v="2023"/>
  </r>
  <r>
    <x v="380"/>
    <x v="1"/>
    <x v="0"/>
    <s v="ART022"/>
    <d v="2023-03-21T00:00:00"/>
    <x v="0"/>
    <x v="0"/>
    <n v="6"/>
    <n v="8329"/>
    <n v="49974"/>
    <n v="25745"/>
    <n v="9021"/>
    <n v="15208"/>
    <n v="11"/>
    <x v="2"/>
    <s v="Tuesday"/>
    <d v="2023-03-19T00:00:00"/>
    <d v="2023-01-01T00:00:00"/>
    <x v="2"/>
    <d v="2023-03-01T00:00:00"/>
    <n v="2023"/>
  </r>
  <r>
    <x v="381"/>
    <x v="0"/>
    <x v="0"/>
    <s v="ART017"/>
    <d v="2023-09-18T00:00:00"/>
    <x v="1"/>
    <x v="0"/>
    <n v="5"/>
    <n v="40158"/>
    <n v="200790"/>
    <n v="96462"/>
    <n v="22517"/>
    <n v="81811"/>
    <n v="48"/>
    <x v="0"/>
    <s v="Monday"/>
    <d v="2023-09-17T00:00:00"/>
    <d v="2023-07-01T00:00:00"/>
    <x v="9"/>
    <d v="2023-09-01T00:00:00"/>
    <n v="2023"/>
  </r>
  <r>
    <x v="382"/>
    <x v="3"/>
    <x v="2"/>
    <s v="ART047"/>
    <d v="2023-09-06T00:00:00"/>
    <x v="0"/>
    <x v="6"/>
    <n v="10"/>
    <n v="5691"/>
    <n v="56910"/>
    <n v="33097"/>
    <n v="11037"/>
    <n v="12776"/>
    <n v="14"/>
    <x v="1"/>
    <s v="Wednesday"/>
    <d v="2023-09-03T00:00:00"/>
    <d v="2023-07-01T00:00:00"/>
    <x v="9"/>
    <d v="2023-09-01T00:00:00"/>
    <n v="2023"/>
  </r>
  <r>
    <x v="383"/>
    <x v="0"/>
    <x v="0"/>
    <s v="ART024"/>
    <d v="2023-03-15T00:00:00"/>
    <x v="1"/>
    <x v="6"/>
    <n v="3"/>
    <n v="63985"/>
    <n v="191955"/>
    <n v="93090"/>
    <n v="29523"/>
    <n v="69342"/>
    <n v="9"/>
    <x v="1"/>
    <s v="Wednesday"/>
    <d v="2023-03-12T00:00:00"/>
    <d v="2023-01-01T00:00:00"/>
    <x v="2"/>
    <d v="2023-03-01T00:00:00"/>
    <n v="2023"/>
  </r>
  <r>
    <x v="384"/>
    <x v="1"/>
    <x v="0"/>
    <s v="ART002"/>
    <d v="2023-01-27T00:00:00"/>
    <x v="3"/>
    <x v="1"/>
    <n v="9"/>
    <n v="14002"/>
    <n v="126018"/>
    <n v="55481"/>
    <n v="13160"/>
    <n v="57377"/>
    <n v="32"/>
    <x v="0"/>
    <s v="Friday"/>
    <d v="2023-01-22T00:00:00"/>
    <d v="2023-01-01T00:00:00"/>
    <x v="8"/>
    <d v="2023-01-01T00:00:00"/>
    <n v="2023"/>
  </r>
  <r>
    <x v="385"/>
    <x v="2"/>
    <x v="1"/>
    <s v="ART044"/>
    <d v="2023-11-14T00:00:00"/>
    <x v="0"/>
    <x v="6"/>
    <n v="4"/>
    <n v="63368"/>
    <n v="253472"/>
    <n v="104234"/>
    <n v="50679"/>
    <n v="98559"/>
    <n v="50"/>
    <x v="1"/>
    <s v="Tuesday"/>
    <d v="2023-11-12T00:00:00"/>
    <d v="2023-10-01T00:00:00"/>
    <x v="10"/>
    <d v="2023-11-01T00:00:00"/>
    <n v="2023"/>
  </r>
  <r>
    <x v="386"/>
    <x v="1"/>
    <x v="0"/>
    <s v="ART046"/>
    <d v="2023-10-24T00:00:00"/>
    <x v="2"/>
    <x v="4"/>
    <n v="10"/>
    <n v="40362"/>
    <n v="403620"/>
    <n v="121734"/>
    <n v="43000"/>
    <n v="238886"/>
    <n v="22"/>
    <x v="1"/>
    <s v="Tuesday"/>
    <d v="2023-10-22T00:00:00"/>
    <d v="2023-10-01T00:00:00"/>
    <x v="3"/>
    <d v="2023-10-01T00:00:00"/>
    <n v="2023"/>
  </r>
  <r>
    <x v="387"/>
    <x v="1"/>
    <x v="0"/>
    <s v="ART032"/>
    <d v="2023-08-13T00:00:00"/>
    <x v="0"/>
    <x v="4"/>
    <n v="2"/>
    <n v="60663"/>
    <n v="121326"/>
    <n v="71181"/>
    <n v="14461"/>
    <n v="35684"/>
    <n v="23"/>
    <x v="2"/>
    <s v="Sunday"/>
    <d v="2023-08-13T00:00:00"/>
    <d v="2023-07-01T00:00:00"/>
    <x v="7"/>
    <d v="2023-08-01T00:00:00"/>
    <n v="2023"/>
  </r>
  <r>
    <x v="388"/>
    <x v="0"/>
    <x v="0"/>
    <s v="ART003"/>
    <d v="2023-01-15T00:00:00"/>
    <x v="3"/>
    <x v="0"/>
    <n v="8"/>
    <n v="8346"/>
    <n v="66768"/>
    <n v="37382"/>
    <n v="9361"/>
    <n v="20025"/>
    <n v="10"/>
    <x v="1"/>
    <s v="Sunday"/>
    <d v="2023-01-15T00:00:00"/>
    <d v="2023-01-01T00:00:00"/>
    <x v="8"/>
    <d v="2023-01-01T00:00:00"/>
    <n v="2023"/>
  </r>
  <r>
    <x v="389"/>
    <x v="1"/>
    <x v="0"/>
    <s v="ART009"/>
    <d v="2023-10-08T00:00:00"/>
    <x v="2"/>
    <x v="0"/>
    <n v="9"/>
    <n v="18363"/>
    <n v="165267"/>
    <n v="69292"/>
    <n v="30130"/>
    <n v="65845"/>
    <n v="38"/>
    <x v="2"/>
    <s v="Sunday"/>
    <d v="2023-10-08T00:00:00"/>
    <d v="2023-10-01T00:00:00"/>
    <x v="3"/>
    <d v="2023-10-01T00:00:00"/>
    <n v="2023"/>
  </r>
  <r>
    <x v="390"/>
    <x v="1"/>
    <x v="0"/>
    <s v="ART026"/>
    <d v="2023-05-19T00:00:00"/>
    <x v="0"/>
    <x v="3"/>
    <n v="3"/>
    <n v="11303"/>
    <n v="33909"/>
    <n v="16656"/>
    <n v="5751"/>
    <n v="11502"/>
    <n v="23"/>
    <x v="3"/>
    <s v="Friday"/>
    <d v="2023-05-14T00:00:00"/>
    <d v="2023-04-01T00:00:00"/>
    <x v="4"/>
    <d v="2023-05-01T00:00:00"/>
    <n v="2023"/>
  </r>
  <r>
    <x v="391"/>
    <x v="4"/>
    <x v="2"/>
    <s v="ART012"/>
    <d v="2023-03-23T00:00:00"/>
    <x v="0"/>
    <x v="0"/>
    <n v="7"/>
    <n v="48433"/>
    <n v="339031"/>
    <n v="180786"/>
    <n v="50628"/>
    <n v="107617"/>
    <n v="14"/>
    <x v="4"/>
    <s v="Thursday"/>
    <d v="2023-03-19T00:00:00"/>
    <d v="2023-01-01T00:00:00"/>
    <x v="2"/>
    <d v="2023-03-01T00:00:00"/>
    <n v="2023"/>
  </r>
  <r>
    <x v="392"/>
    <x v="3"/>
    <x v="2"/>
    <s v="ART037"/>
    <d v="2023-10-07T00:00:00"/>
    <x v="1"/>
    <x v="1"/>
    <n v="10"/>
    <n v="58782"/>
    <n v="587820"/>
    <n v="325370"/>
    <n v="103736"/>
    <n v="158714"/>
    <n v="5"/>
    <x v="4"/>
    <s v="Saturday"/>
    <d v="2023-10-01T00:00:00"/>
    <d v="2023-10-01T00:00:00"/>
    <x v="3"/>
    <d v="2023-10-01T00:00:00"/>
    <n v="2023"/>
  </r>
  <r>
    <x v="393"/>
    <x v="2"/>
    <x v="1"/>
    <s v="ART033"/>
    <d v="2023-01-21T00:00:00"/>
    <x v="0"/>
    <x v="1"/>
    <n v="3"/>
    <n v="47903"/>
    <n v="143709"/>
    <n v="53047"/>
    <n v="17144"/>
    <n v="73518"/>
    <n v="44"/>
    <x v="3"/>
    <s v="Saturday"/>
    <d v="2023-01-15T00:00:00"/>
    <d v="2023-01-01T00:00:00"/>
    <x v="8"/>
    <d v="2023-01-01T00:00:00"/>
    <n v="2023"/>
  </r>
  <r>
    <x v="394"/>
    <x v="1"/>
    <x v="0"/>
    <s v="ART009"/>
    <d v="2023-05-19T00:00:00"/>
    <x v="2"/>
    <x v="0"/>
    <n v="4"/>
    <n v="18673"/>
    <n v="74692"/>
    <n v="43864"/>
    <n v="10767"/>
    <n v="20061"/>
    <n v="17"/>
    <x v="0"/>
    <s v="Friday"/>
    <d v="2023-05-14T00:00:00"/>
    <d v="2023-04-01T00:00:00"/>
    <x v="4"/>
    <d v="2023-05-01T00:00:00"/>
    <n v="2023"/>
  </r>
  <r>
    <x v="395"/>
    <x v="1"/>
    <x v="0"/>
    <s v="ART048"/>
    <d v="2023-11-08T00:00:00"/>
    <x v="0"/>
    <x v="4"/>
    <n v="3"/>
    <n v="10389"/>
    <n v="31167"/>
    <n v="10625"/>
    <n v="4971"/>
    <n v="15571"/>
    <n v="37"/>
    <x v="4"/>
    <s v="Wednesday"/>
    <d v="2023-11-05T00:00:00"/>
    <d v="2023-10-01T00:00:00"/>
    <x v="10"/>
    <d v="2023-11-01T00:00:00"/>
    <n v="2023"/>
  </r>
  <r>
    <x v="396"/>
    <x v="4"/>
    <x v="2"/>
    <s v="ART049"/>
    <d v="2023-07-24T00:00:00"/>
    <x v="0"/>
    <x v="0"/>
    <n v="10"/>
    <n v="14897"/>
    <n v="148970"/>
    <n v="57170"/>
    <n v="26195"/>
    <n v="65605"/>
    <n v="44"/>
    <x v="0"/>
    <s v="Monday"/>
    <d v="2023-07-23T00:00:00"/>
    <d v="2023-07-01T00:00:00"/>
    <x v="0"/>
    <d v="2023-07-01T00:00:00"/>
    <n v="2023"/>
  </r>
  <r>
    <x v="397"/>
    <x v="4"/>
    <x v="2"/>
    <s v="ART027"/>
    <d v="2023-04-04T00:00:00"/>
    <x v="3"/>
    <x v="2"/>
    <n v="1"/>
    <n v="7734"/>
    <n v="7734"/>
    <n v="2923"/>
    <n v="1446"/>
    <n v="3365"/>
    <n v="37"/>
    <x v="4"/>
    <s v="Tuesday"/>
    <d v="2023-04-02T00:00:00"/>
    <d v="2023-04-01T00:00:00"/>
    <x v="5"/>
    <d v="2023-04-01T00:00:00"/>
    <n v="2023"/>
  </r>
  <r>
    <x v="398"/>
    <x v="0"/>
    <x v="0"/>
    <s v="ART027"/>
    <d v="2023-09-11T00:00:00"/>
    <x v="2"/>
    <x v="6"/>
    <n v="2"/>
    <n v="36786"/>
    <n v="73572"/>
    <n v="30941"/>
    <n v="7466"/>
    <n v="35165"/>
    <n v="7"/>
    <x v="0"/>
    <s v="Monday"/>
    <d v="2023-09-10T00:00:00"/>
    <d v="2023-07-01T00:00:00"/>
    <x v="9"/>
    <d v="2023-09-01T00:00:00"/>
    <n v="2023"/>
  </r>
  <r>
    <x v="399"/>
    <x v="3"/>
    <x v="2"/>
    <s v="ART032"/>
    <d v="2023-03-17T00:00:00"/>
    <x v="2"/>
    <x v="0"/>
    <n v="5"/>
    <n v="32741"/>
    <n v="163705"/>
    <n v="72226"/>
    <n v="23125"/>
    <n v="68354"/>
    <n v="47"/>
    <x v="4"/>
    <s v="Friday"/>
    <d v="2023-03-12T00:00:00"/>
    <d v="2023-01-01T00:00:00"/>
    <x v="2"/>
    <d v="2023-03-01T00:00:00"/>
    <n v="2023"/>
  </r>
  <r>
    <x v="400"/>
    <x v="0"/>
    <x v="0"/>
    <s v="ART031"/>
    <d v="2023-04-19T00:00:00"/>
    <x v="1"/>
    <x v="6"/>
    <n v="10"/>
    <n v="11099"/>
    <n v="110990"/>
    <n v="63842"/>
    <n v="20491"/>
    <n v="26657"/>
    <n v="6"/>
    <x v="0"/>
    <s v="Wednesday"/>
    <d v="2023-04-16T00:00:00"/>
    <d v="2023-04-01T00:00:00"/>
    <x v="5"/>
    <d v="2023-04-01T00:00:00"/>
    <n v="2023"/>
  </r>
  <r>
    <x v="401"/>
    <x v="2"/>
    <x v="1"/>
    <s v="ART049"/>
    <d v="2023-09-16T00:00:00"/>
    <x v="1"/>
    <x v="5"/>
    <n v="9"/>
    <n v="67327"/>
    <n v="605943"/>
    <n v="231047"/>
    <n v="103727"/>
    <n v="271169"/>
    <n v="33"/>
    <x v="2"/>
    <s v="Saturday"/>
    <d v="2023-09-10T00:00:00"/>
    <d v="2023-07-01T00:00:00"/>
    <x v="9"/>
    <d v="2023-09-01T00:00:00"/>
    <n v="2023"/>
  </r>
  <r>
    <x v="402"/>
    <x v="1"/>
    <x v="0"/>
    <s v="ART022"/>
    <d v="2023-06-07T00:00:00"/>
    <x v="2"/>
    <x v="1"/>
    <n v="6"/>
    <n v="69551"/>
    <n v="417306"/>
    <n v="201099"/>
    <n v="51016"/>
    <n v="165191"/>
    <n v="39"/>
    <x v="1"/>
    <s v="Wednesday"/>
    <d v="2023-06-04T00:00:00"/>
    <d v="2023-04-01T00:00:00"/>
    <x v="1"/>
    <d v="2023-06-01T00:00:00"/>
    <n v="2023"/>
  </r>
  <r>
    <x v="403"/>
    <x v="2"/>
    <x v="1"/>
    <s v="ART025"/>
    <d v="2023-09-24T00:00:00"/>
    <x v="1"/>
    <x v="6"/>
    <n v="5"/>
    <n v="4602"/>
    <n v="23010"/>
    <n v="10532"/>
    <n v="3663"/>
    <n v="8815"/>
    <n v="9"/>
    <x v="4"/>
    <s v="Sunday"/>
    <d v="2023-09-24T00:00:00"/>
    <d v="2023-07-01T00:00:00"/>
    <x v="9"/>
    <d v="2023-09-01T00:00:00"/>
    <n v="2023"/>
  </r>
  <r>
    <x v="404"/>
    <x v="4"/>
    <x v="2"/>
    <s v="ART044"/>
    <d v="2023-06-21T00:00:00"/>
    <x v="0"/>
    <x v="0"/>
    <n v="2"/>
    <n v="66580"/>
    <n v="133160"/>
    <n v="67372"/>
    <n v="20198"/>
    <n v="45590"/>
    <n v="12"/>
    <x v="3"/>
    <s v="Wednesday"/>
    <d v="2023-06-18T00:00:00"/>
    <d v="2023-04-01T00:00:00"/>
    <x v="1"/>
    <d v="2023-06-01T00:00:00"/>
    <n v="2023"/>
  </r>
  <r>
    <x v="405"/>
    <x v="2"/>
    <x v="1"/>
    <s v="ART013"/>
    <d v="2023-09-27T00:00:00"/>
    <x v="1"/>
    <x v="3"/>
    <n v="10"/>
    <n v="58230"/>
    <n v="582300"/>
    <n v="228692"/>
    <n v="74049"/>
    <n v="279559"/>
    <n v="30"/>
    <x v="3"/>
    <s v="Wednesday"/>
    <d v="2023-09-24T00:00:00"/>
    <d v="2023-07-01T00:00:00"/>
    <x v="9"/>
    <d v="2023-09-01T00:00:00"/>
    <n v="2023"/>
  </r>
  <r>
    <x v="406"/>
    <x v="4"/>
    <x v="2"/>
    <s v="ART047"/>
    <d v="2023-10-03T00:00:00"/>
    <x v="3"/>
    <x v="2"/>
    <n v="6"/>
    <n v="34908"/>
    <n v="209448"/>
    <n v="105995"/>
    <n v="22827"/>
    <n v="80626"/>
    <n v="49"/>
    <x v="1"/>
    <s v="Tuesday"/>
    <d v="2023-10-01T00:00:00"/>
    <d v="2023-10-01T00:00:00"/>
    <x v="3"/>
    <d v="2023-10-01T00:00:00"/>
    <n v="2023"/>
  </r>
  <r>
    <x v="407"/>
    <x v="1"/>
    <x v="0"/>
    <s v="ART003"/>
    <d v="2023-09-27T00:00:00"/>
    <x v="0"/>
    <x v="0"/>
    <n v="8"/>
    <n v="26729"/>
    <n v="213832"/>
    <n v="71877"/>
    <n v="29695"/>
    <n v="112260"/>
    <n v="44"/>
    <x v="0"/>
    <s v="Wednesday"/>
    <d v="2023-09-24T00:00:00"/>
    <d v="2023-07-01T00:00:00"/>
    <x v="9"/>
    <d v="2023-09-01T00:00:00"/>
    <n v="2023"/>
  </r>
  <r>
    <x v="408"/>
    <x v="0"/>
    <x v="0"/>
    <s v="ART041"/>
    <d v="2023-11-10T00:00:00"/>
    <x v="1"/>
    <x v="0"/>
    <n v="10"/>
    <n v="28092"/>
    <n v="280920"/>
    <n v="108409"/>
    <n v="32746"/>
    <n v="139765"/>
    <n v="5"/>
    <x v="3"/>
    <s v="Friday"/>
    <d v="2023-11-05T00:00:00"/>
    <d v="2023-10-01T00:00:00"/>
    <x v="10"/>
    <d v="2023-11-01T00:00:00"/>
    <n v="2023"/>
  </r>
  <r>
    <x v="409"/>
    <x v="3"/>
    <x v="2"/>
    <s v="ART010"/>
    <d v="2023-01-01T00:00:00"/>
    <x v="0"/>
    <x v="4"/>
    <n v="3"/>
    <n v="51424"/>
    <n v="154272"/>
    <n v="54434"/>
    <n v="25654"/>
    <n v="74184"/>
    <n v="18"/>
    <x v="1"/>
    <s v="Sunday"/>
    <d v="2023-01-01T00:00:00"/>
    <d v="2023-01-01T00:00:00"/>
    <x v="8"/>
    <d v="2023-01-01T00:00:00"/>
    <n v="2023"/>
  </r>
  <r>
    <x v="410"/>
    <x v="2"/>
    <x v="1"/>
    <s v="ART013"/>
    <d v="2023-10-18T00:00:00"/>
    <x v="0"/>
    <x v="1"/>
    <n v="6"/>
    <n v="36701"/>
    <n v="220206"/>
    <n v="108387"/>
    <n v="37194"/>
    <n v="74625"/>
    <n v="7"/>
    <x v="4"/>
    <s v="Wednesday"/>
    <d v="2023-10-15T00:00:00"/>
    <d v="2023-10-01T00:00:00"/>
    <x v="3"/>
    <d v="2023-10-01T00:00:00"/>
    <n v="2023"/>
  </r>
  <r>
    <x v="411"/>
    <x v="2"/>
    <x v="1"/>
    <s v="ART012"/>
    <d v="2023-02-28T00:00:00"/>
    <x v="2"/>
    <x v="5"/>
    <n v="7"/>
    <n v="21233"/>
    <n v="148631"/>
    <n v="60371"/>
    <n v="18044"/>
    <n v="70216"/>
    <n v="35"/>
    <x v="0"/>
    <s v="Tuesday"/>
    <d v="2023-02-26T00:00:00"/>
    <d v="2023-01-01T00:00:00"/>
    <x v="6"/>
    <d v="2023-02-01T00:00:00"/>
    <n v="2023"/>
  </r>
  <r>
    <x v="412"/>
    <x v="2"/>
    <x v="1"/>
    <s v="ART038"/>
    <d v="2023-11-04T00:00:00"/>
    <x v="0"/>
    <x v="6"/>
    <n v="6"/>
    <n v="30656"/>
    <n v="183936"/>
    <n v="66796"/>
    <n v="20501"/>
    <n v="96639"/>
    <n v="2"/>
    <x v="1"/>
    <s v="Saturday"/>
    <d v="2023-10-29T00:00:00"/>
    <d v="2023-10-01T00:00:00"/>
    <x v="10"/>
    <d v="2023-11-01T00:00:00"/>
    <n v="2023"/>
  </r>
  <r>
    <x v="413"/>
    <x v="1"/>
    <x v="0"/>
    <s v="ART011"/>
    <d v="2023-01-10T00:00:00"/>
    <x v="3"/>
    <x v="2"/>
    <n v="10"/>
    <n v="33859"/>
    <n v="338590"/>
    <n v="177133"/>
    <n v="36475"/>
    <n v="124982"/>
    <n v="44"/>
    <x v="3"/>
    <s v="Tuesday"/>
    <d v="2023-01-08T00:00:00"/>
    <d v="2023-01-01T00:00:00"/>
    <x v="8"/>
    <d v="2023-01-01T00:00:00"/>
    <n v="2023"/>
  </r>
  <r>
    <x v="414"/>
    <x v="1"/>
    <x v="0"/>
    <s v="ART029"/>
    <d v="2023-02-03T00:00:00"/>
    <x v="3"/>
    <x v="3"/>
    <n v="4"/>
    <n v="16347"/>
    <n v="65388"/>
    <n v="39174"/>
    <n v="9421"/>
    <n v="16793"/>
    <n v="33"/>
    <x v="1"/>
    <s v="Friday"/>
    <d v="2023-01-29T00:00:00"/>
    <d v="2023-01-01T00:00:00"/>
    <x v="6"/>
    <d v="2023-02-01T00:00:00"/>
    <n v="2023"/>
  </r>
  <r>
    <x v="415"/>
    <x v="1"/>
    <x v="0"/>
    <s v="ART037"/>
    <d v="2023-10-09T00:00:00"/>
    <x v="2"/>
    <x v="4"/>
    <n v="10"/>
    <n v="31242"/>
    <n v="312420"/>
    <n v="153713"/>
    <n v="32834"/>
    <n v="125873"/>
    <n v="30"/>
    <x v="4"/>
    <s v="Monday"/>
    <d v="2023-10-08T00:00:00"/>
    <d v="2023-10-01T00:00:00"/>
    <x v="3"/>
    <d v="2023-10-01T00:00:00"/>
    <n v="2023"/>
  </r>
  <r>
    <x v="416"/>
    <x v="2"/>
    <x v="1"/>
    <s v="ART003"/>
    <d v="2023-02-25T00:00:00"/>
    <x v="3"/>
    <x v="1"/>
    <n v="10"/>
    <n v="4609"/>
    <n v="46090"/>
    <n v="15632"/>
    <n v="6070"/>
    <n v="24388"/>
    <n v="25"/>
    <x v="3"/>
    <s v="Saturday"/>
    <d v="2023-02-19T00:00:00"/>
    <d v="2023-01-01T00:00:00"/>
    <x v="6"/>
    <d v="2023-02-01T00:00:00"/>
    <n v="2023"/>
  </r>
  <r>
    <x v="417"/>
    <x v="1"/>
    <x v="0"/>
    <s v="ART001"/>
    <d v="2023-09-19T00:00:00"/>
    <x v="1"/>
    <x v="4"/>
    <n v="9"/>
    <n v="24821"/>
    <n v="223389"/>
    <n v="84064"/>
    <n v="24490"/>
    <n v="114835"/>
    <n v="38"/>
    <x v="2"/>
    <s v="Tuesday"/>
    <d v="2023-09-17T00:00:00"/>
    <d v="2023-07-01T00:00:00"/>
    <x v="9"/>
    <d v="2023-09-01T00:00:00"/>
    <n v="2023"/>
  </r>
  <r>
    <x v="418"/>
    <x v="3"/>
    <x v="2"/>
    <s v="ART013"/>
    <d v="2023-01-21T00:00:00"/>
    <x v="0"/>
    <x v="6"/>
    <n v="5"/>
    <n v="14954"/>
    <n v="74770"/>
    <n v="38327"/>
    <n v="13735"/>
    <n v="22708"/>
    <n v="33"/>
    <x v="0"/>
    <s v="Saturday"/>
    <d v="2023-01-15T00:00:00"/>
    <d v="2023-01-01T00:00:00"/>
    <x v="8"/>
    <d v="2023-01-01T00:00:00"/>
    <n v="2023"/>
  </r>
  <r>
    <x v="419"/>
    <x v="1"/>
    <x v="0"/>
    <s v="ART005"/>
    <d v="2023-04-16T00:00:00"/>
    <x v="3"/>
    <x v="2"/>
    <n v="9"/>
    <n v="54706"/>
    <n v="492354"/>
    <n v="218080"/>
    <n v="75313"/>
    <n v="198961"/>
    <n v="10"/>
    <x v="3"/>
    <s v="Sunday"/>
    <d v="2023-04-16T00:00:00"/>
    <d v="2023-04-01T00:00:00"/>
    <x v="5"/>
    <d v="2023-04-01T00:00:00"/>
    <n v="2023"/>
  </r>
  <r>
    <x v="420"/>
    <x v="1"/>
    <x v="0"/>
    <s v="ART046"/>
    <d v="2023-05-14T00:00:00"/>
    <x v="0"/>
    <x v="2"/>
    <n v="4"/>
    <n v="9834"/>
    <n v="39336"/>
    <n v="20751"/>
    <n v="4927"/>
    <n v="13658"/>
    <n v="41"/>
    <x v="2"/>
    <s v="Sunday"/>
    <d v="2023-05-14T00:00:00"/>
    <d v="2023-04-01T00:00:00"/>
    <x v="4"/>
    <d v="2023-05-01T00:00:00"/>
    <n v="2023"/>
  </r>
  <r>
    <x v="421"/>
    <x v="0"/>
    <x v="0"/>
    <s v="ART036"/>
    <d v="2023-01-22T00:00:00"/>
    <x v="2"/>
    <x v="3"/>
    <n v="9"/>
    <n v="31083"/>
    <n v="279747"/>
    <n v="108265"/>
    <n v="37912"/>
    <n v="133570"/>
    <n v="17"/>
    <x v="1"/>
    <s v="Sunday"/>
    <d v="2023-01-22T00:00:00"/>
    <d v="2023-01-01T00:00:00"/>
    <x v="8"/>
    <d v="2023-01-01T00:00:00"/>
    <n v="2023"/>
  </r>
  <r>
    <x v="422"/>
    <x v="1"/>
    <x v="0"/>
    <s v="ART024"/>
    <d v="2023-02-22T00:00:00"/>
    <x v="3"/>
    <x v="5"/>
    <n v="10"/>
    <n v="65177"/>
    <n v="651770"/>
    <n v="337673"/>
    <n v="114803"/>
    <n v="199294"/>
    <n v="25"/>
    <x v="2"/>
    <s v="Wednesday"/>
    <d v="2023-02-19T00:00:00"/>
    <d v="2023-01-01T00:00:00"/>
    <x v="6"/>
    <d v="2023-02-01T00:00:00"/>
    <n v="2023"/>
  </r>
  <r>
    <x v="423"/>
    <x v="2"/>
    <x v="1"/>
    <s v="ART019"/>
    <d v="2023-02-11T00:00:00"/>
    <x v="1"/>
    <x v="5"/>
    <n v="10"/>
    <n v="7404"/>
    <n v="74040"/>
    <n v="30051"/>
    <n v="12348"/>
    <n v="31641"/>
    <n v="28"/>
    <x v="3"/>
    <s v="Saturday"/>
    <d v="2023-02-05T00:00:00"/>
    <d v="2023-01-01T00:00:00"/>
    <x v="6"/>
    <d v="2023-02-01T00:00:00"/>
    <n v="2023"/>
  </r>
  <r>
    <x v="424"/>
    <x v="1"/>
    <x v="0"/>
    <s v="ART050"/>
    <d v="2023-02-21T00:00:00"/>
    <x v="3"/>
    <x v="5"/>
    <n v="8"/>
    <n v="11591"/>
    <n v="92728"/>
    <n v="44412"/>
    <n v="15408"/>
    <n v="32908"/>
    <n v="12"/>
    <x v="3"/>
    <s v="Tuesday"/>
    <d v="2023-02-19T00:00:00"/>
    <d v="2023-01-01T00:00:00"/>
    <x v="6"/>
    <d v="2023-02-01T00:00:00"/>
    <n v="2023"/>
  </r>
  <r>
    <x v="425"/>
    <x v="3"/>
    <x v="2"/>
    <s v="ART040"/>
    <d v="2023-03-12T00:00:00"/>
    <x v="2"/>
    <x v="1"/>
    <n v="1"/>
    <n v="8096"/>
    <n v="8096"/>
    <n v="4115"/>
    <n v="810"/>
    <n v="3171"/>
    <n v="24"/>
    <x v="2"/>
    <s v="Sunday"/>
    <d v="2023-03-12T00:00:00"/>
    <d v="2023-01-01T00:00:00"/>
    <x v="2"/>
    <d v="2023-03-01T00:00:00"/>
    <n v="2023"/>
  </r>
  <r>
    <x v="426"/>
    <x v="3"/>
    <x v="2"/>
    <s v="ART014"/>
    <d v="2023-08-05T00:00:00"/>
    <x v="0"/>
    <x v="5"/>
    <n v="8"/>
    <n v="69373"/>
    <n v="554984"/>
    <n v="189130"/>
    <n v="66158"/>
    <n v="299696"/>
    <n v="33"/>
    <x v="4"/>
    <s v="Saturday"/>
    <d v="2023-07-30T00:00:00"/>
    <d v="2023-07-01T00:00:00"/>
    <x v="7"/>
    <d v="2023-08-01T00:00:00"/>
    <n v="2023"/>
  </r>
  <r>
    <x v="427"/>
    <x v="2"/>
    <x v="1"/>
    <s v="ART048"/>
    <d v="2023-09-01T00:00:00"/>
    <x v="3"/>
    <x v="5"/>
    <n v="7"/>
    <n v="8267"/>
    <n v="57869"/>
    <n v="26789"/>
    <n v="6114"/>
    <n v="24966"/>
    <n v="24"/>
    <x v="3"/>
    <s v="Friday"/>
    <d v="2023-08-27T00:00:00"/>
    <d v="2023-07-01T00:00:00"/>
    <x v="9"/>
    <d v="2023-09-01T00:00:00"/>
    <n v="2023"/>
  </r>
  <r>
    <x v="428"/>
    <x v="4"/>
    <x v="2"/>
    <s v="ART025"/>
    <d v="2023-04-22T00:00:00"/>
    <x v="3"/>
    <x v="4"/>
    <n v="10"/>
    <n v="32303"/>
    <n v="323030"/>
    <n v="107689"/>
    <n v="54540"/>
    <n v="160801"/>
    <n v="2"/>
    <x v="2"/>
    <s v="Saturday"/>
    <d v="2023-04-16T00:00:00"/>
    <d v="2023-04-01T00:00:00"/>
    <x v="5"/>
    <d v="2023-04-01T00:00:00"/>
    <n v="2023"/>
  </r>
  <r>
    <x v="429"/>
    <x v="0"/>
    <x v="0"/>
    <s v="ART005"/>
    <d v="2023-05-25T00:00:00"/>
    <x v="0"/>
    <x v="5"/>
    <n v="3"/>
    <n v="31489"/>
    <n v="94467"/>
    <n v="53224"/>
    <n v="14611"/>
    <n v="26632"/>
    <n v="14"/>
    <x v="0"/>
    <s v="Thursday"/>
    <d v="2023-05-21T00:00:00"/>
    <d v="2023-04-01T00:00:00"/>
    <x v="4"/>
    <d v="2023-05-01T00:00:00"/>
    <n v="2023"/>
  </r>
  <r>
    <x v="430"/>
    <x v="2"/>
    <x v="1"/>
    <s v="ART017"/>
    <d v="2023-05-08T00:00:00"/>
    <x v="0"/>
    <x v="2"/>
    <n v="3"/>
    <n v="8152"/>
    <n v="24456"/>
    <n v="9920"/>
    <n v="4469"/>
    <n v="10067"/>
    <n v="32"/>
    <x v="2"/>
    <s v="Monday"/>
    <d v="2023-05-07T00:00:00"/>
    <d v="2023-04-01T00:00:00"/>
    <x v="4"/>
    <d v="2023-05-01T00:00:00"/>
    <n v="2023"/>
  </r>
  <r>
    <x v="431"/>
    <x v="1"/>
    <x v="0"/>
    <s v="ART033"/>
    <d v="2023-06-02T00:00:00"/>
    <x v="0"/>
    <x v="5"/>
    <n v="5"/>
    <n v="25236"/>
    <n v="126180"/>
    <n v="56990"/>
    <n v="12941"/>
    <n v="56249"/>
    <n v="43"/>
    <x v="0"/>
    <s v="Friday"/>
    <d v="2023-05-28T00:00:00"/>
    <d v="2023-04-01T00:00:00"/>
    <x v="1"/>
    <d v="2023-06-01T00:00:00"/>
    <n v="2023"/>
  </r>
  <r>
    <x v="432"/>
    <x v="2"/>
    <x v="1"/>
    <s v="ART037"/>
    <d v="2023-04-18T00:00:00"/>
    <x v="2"/>
    <x v="0"/>
    <n v="1"/>
    <n v="63080"/>
    <n v="63080"/>
    <n v="33601"/>
    <n v="8540"/>
    <n v="20939"/>
    <n v="41"/>
    <x v="3"/>
    <s v="Tuesday"/>
    <d v="2023-04-16T00:00:00"/>
    <d v="2023-04-01T00:00:00"/>
    <x v="5"/>
    <d v="2023-04-01T00:00:00"/>
    <n v="2023"/>
  </r>
  <r>
    <x v="433"/>
    <x v="3"/>
    <x v="2"/>
    <s v="ART046"/>
    <d v="2023-11-01T00:00:00"/>
    <x v="2"/>
    <x v="5"/>
    <n v="4"/>
    <n v="64724"/>
    <n v="258896"/>
    <n v="133820"/>
    <n v="36350"/>
    <n v="88726"/>
    <n v="13"/>
    <x v="2"/>
    <s v="Wednesday"/>
    <d v="2023-10-29T00:00:00"/>
    <d v="2023-10-01T00:00:00"/>
    <x v="10"/>
    <d v="2023-11-01T00:00:00"/>
    <n v="2023"/>
  </r>
  <r>
    <x v="434"/>
    <x v="4"/>
    <x v="2"/>
    <s v="ART008"/>
    <d v="2023-05-14T00:00:00"/>
    <x v="0"/>
    <x v="6"/>
    <n v="6"/>
    <n v="43617"/>
    <n v="261702"/>
    <n v="150282"/>
    <n v="36588"/>
    <n v="74832"/>
    <n v="27"/>
    <x v="2"/>
    <s v="Sunday"/>
    <d v="2023-05-14T00:00:00"/>
    <d v="2023-04-01T00:00:00"/>
    <x v="4"/>
    <d v="2023-05-01T00:00:00"/>
    <n v="2023"/>
  </r>
  <r>
    <x v="435"/>
    <x v="3"/>
    <x v="2"/>
    <s v="ART041"/>
    <d v="2023-08-28T00:00:00"/>
    <x v="2"/>
    <x v="4"/>
    <n v="2"/>
    <n v="47879"/>
    <n v="95758"/>
    <n v="38208"/>
    <n v="13547"/>
    <n v="44003"/>
    <n v="45"/>
    <x v="3"/>
    <s v="Monday"/>
    <d v="2023-08-27T00:00:00"/>
    <d v="2023-07-01T00:00:00"/>
    <x v="7"/>
    <d v="2023-08-01T00:00:00"/>
    <n v="2023"/>
  </r>
  <r>
    <x v="436"/>
    <x v="0"/>
    <x v="0"/>
    <s v="ART002"/>
    <d v="2023-08-06T00:00:00"/>
    <x v="1"/>
    <x v="4"/>
    <n v="1"/>
    <n v="47795"/>
    <n v="47795"/>
    <n v="25302"/>
    <n v="7305"/>
    <n v="15188"/>
    <n v="44"/>
    <x v="0"/>
    <s v="Sunday"/>
    <d v="2023-08-06T00:00:00"/>
    <d v="2023-07-01T00:00:00"/>
    <x v="7"/>
    <d v="2023-08-01T00:00:00"/>
    <n v="2023"/>
  </r>
  <r>
    <x v="437"/>
    <x v="1"/>
    <x v="0"/>
    <s v="ART050"/>
    <d v="2023-05-22T00:00:00"/>
    <x v="0"/>
    <x v="5"/>
    <n v="8"/>
    <n v="39304"/>
    <n v="314432"/>
    <n v="137672"/>
    <n v="35357"/>
    <n v="141403"/>
    <n v="46"/>
    <x v="2"/>
    <s v="Monday"/>
    <d v="2023-05-21T00:00:00"/>
    <d v="2023-04-01T00:00:00"/>
    <x v="4"/>
    <d v="2023-05-01T00:00:00"/>
    <n v="2023"/>
  </r>
  <r>
    <x v="438"/>
    <x v="0"/>
    <x v="0"/>
    <s v="ART021"/>
    <d v="2023-04-04T00:00:00"/>
    <x v="1"/>
    <x v="4"/>
    <n v="10"/>
    <n v="54571"/>
    <n v="545710"/>
    <n v="187890"/>
    <n v="60247"/>
    <n v="297573"/>
    <n v="0"/>
    <x v="0"/>
    <s v="Tuesday"/>
    <d v="2023-04-02T00:00:00"/>
    <d v="2023-04-01T00:00:00"/>
    <x v="5"/>
    <d v="2023-04-01T00:00:00"/>
    <n v="2023"/>
  </r>
  <r>
    <x v="439"/>
    <x v="1"/>
    <x v="0"/>
    <s v="ART028"/>
    <d v="2023-04-15T00:00:00"/>
    <x v="1"/>
    <x v="4"/>
    <n v="3"/>
    <n v="7144"/>
    <n v="21432"/>
    <n v="11409"/>
    <n v="3347"/>
    <n v="6676"/>
    <n v="21"/>
    <x v="0"/>
    <s v="Saturday"/>
    <d v="2023-04-09T00:00:00"/>
    <d v="2023-04-01T00:00:00"/>
    <x v="5"/>
    <d v="2023-04-01T00:00:00"/>
    <n v="2023"/>
  </r>
  <r>
    <x v="440"/>
    <x v="3"/>
    <x v="2"/>
    <s v="ART017"/>
    <d v="2023-02-23T00:00:00"/>
    <x v="1"/>
    <x v="2"/>
    <n v="10"/>
    <n v="59444"/>
    <n v="594440"/>
    <n v="261091"/>
    <n v="113597"/>
    <n v="219752"/>
    <n v="5"/>
    <x v="1"/>
    <s v="Thursday"/>
    <d v="2023-02-19T00:00:00"/>
    <d v="2023-01-01T00:00:00"/>
    <x v="6"/>
    <d v="2023-02-01T00:00:00"/>
    <n v="2023"/>
  </r>
  <r>
    <x v="441"/>
    <x v="1"/>
    <x v="0"/>
    <s v="ART038"/>
    <d v="2023-01-06T00:00:00"/>
    <x v="3"/>
    <x v="3"/>
    <n v="3"/>
    <n v="53398"/>
    <n v="160194"/>
    <n v="91036"/>
    <n v="16109"/>
    <n v="53049"/>
    <n v="7"/>
    <x v="3"/>
    <s v="Friday"/>
    <d v="2023-01-01T00:00:00"/>
    <d v="2023-01-01T00:00:00"/>
    <x v="8"/>
    <d v="2023-01-01T00:00:00"/>
    <n v="2023"/>
  </r>
  <r>
    <x v="442"/>
    <x v="1"/>
    <x v="0"/>
    <s v="ART020"/>
    <d v="2023-01-25T00:00:00"/>
    <x v="2"/>
    <x v="6"/>
    <n v="6"/>
    <n v="25119"/>
    <n v="150714"/>
    <n v="90054"/>
    <n v="27195"/>
    <n v="33465"/>
    <n v="6"/>
    <x v="3"/>
    <s v="Wednesday"/>
    <d v="2023-01-22T00:00:00"/>
    <d v="2023-01-01T00:00:00"/>
    <x v="8"/>
    <d v="2023-01-01T00:00:00"/>
    <n v="2023"/>
  </r>
  <r>
    <x v="443"/>
    <x v="1"/>
    <x v="0"/>
    <s v="ART013"/>
    <d v="2023-08-01T00:00:00"/>
    <x v="3"/>
    <x v="0"/>
    <n v="4"/>
    <n v="15109"/>
    <n v="60436"/>
    <n v="19203"/>
    <n v="8944"/>
    <n v="32289"/>
    <n v="16"/>
    <x v="4"/>
    <s v="Tuesday"/>
    <d v="2023-07-30T00:00:00"/>
    <d v="2023-07-01T00:00:00"/>
    <x v="7"/>
    <d v="2023-08-01T00:00:00"/>
    <n v="2023"/>
  </r>
  <r>
    <x v="444"/>
    <x v="3"/>
    <x v="2"/>
    <s v="ART016"/>
    <d v="2023-07-19T00:00:00"/>
    <x v="2"/>
    <x v="1"/>
    <n v="6"/>
    <n v="53955"/>
    <n v="323730"/>
    <n v="162935"/>
    <n v="40616"/>
    <n v="120179"/>
    <n v="12"/>
    <x v="0"/>
    <s v="Wednesday"/>
    <d v="2023-07-16T00:00:00"/>
    <d v="2023-07-01T00:00:00"/>
    <x v="0"/>
    <d v="2023-07-01T00:00:00"/>
    <n v="2023"/>
  </r>
  <r>
    <x v="445"/>
    <x v="4"/>
    <x v="2"/>
    <s v="ART046"/>
    <d v="2023-10-11T00:00:00"/>
    <x v="2"/>
    <x v="3"/>
    <n v="2"/>
    <n v="46024"/>
    <n v="92048"/>
    <n v="54107"/>
    <n v="11627"/>
    <n v="26314"/>
    <n v="50"/>
    <x v="4"/>
    <s v="Wednesday"/>
    <d v="2023-10-08T00:00:00"/>
    <d v="2023-10-01T00:00:00"/>
    <x v="3"/>
    <d v="2023-10-01T00:00:00"/>
    <n v="2023"/>
  </r>
  <r>
    <x v="446"/>
    <x v="2"/>
    <x v="1"/>
    <s v="ART032"/>
    <d v="2023-03-15T00:00:00"/>
    <x v="0"/>
    <x v="6"/>
    <n v="3"/>
    <n v="15099"/>
    <n v="45297"/>
    <n v="23124"/>
    <n v="8407"/>
    <n v="13766"/>
    <n v="21"/>
    <x v="2"/>
    <s v="Wednesday"/>
    <d v="2023-03-12T00:00:00"/>
    <d v="2023-01-01T00:00:00"/>
    <x v="2"/>
    <d v="2023-03-01T00:00:00"/>
    <n v="2023"/>
  </r>
  <r>
    <x v="447"/>
    <x v="3"/>
    <x v="2"/>
    <s v="ART012"/>
    <d v="2023-03-25T00:00:00"/>
    <x v="2"/>
    <x v="0"/>
    <n v="1"/>
    <n v="13182"/>
    <n v="13182"/>
    <n v="6435"/>
    <n v="1562"/>
    <n v="5185"/>
    <n v="12"/>
    <x v="1"/>
    <s v="Saturday"/>
    <d v="2023-03-19T00:00:00"/>
    <d v="2023-01-01T00:00:00"/>
    <x v="2"/>
    <d v="2023-03-01T00:00:00"/>
    <n v="2023"/>
  </r>
  <r>
    <x v="448"/>
    <x v="4"/>
    <x v="2"/>
    <s v="ART044"/>
    <d v="2023-05-09T00:00:00"/>
    <x v="1"/>
    <x v="1"/>
    <n v="6"/>
    <n v="61962"/>
    <n v="371772"/>
    <n v="129166"/>
    <n v="57254"/>
    <n v="185352"/>
    <n v="36"/>
    <x v="4"/>
    <s v="Tuesday"/>
    <d v="2023-05-07T00:00:00"/>
    <d v="2023-04-01T00:00:00"/>
    <x v="4"/>
    <d v="2023-05-01T00:00:00"/>
    <n v="2023"/>
  </r>
  <r>
    <x v="449"/>
    <x v="0"/>
    <x v="0"/>
    <s v="ART028"/>
    <d v="2023-06-29T00:00:00"/>
    <x v="1"/>
    <x v="1"/>
    <n v="6"/>
    <n v="44708"/>
    <n v="268248"/>
    <n v="152610"/>
    <n v="38011"/>
    <n v="77627"/>
    <n v="49"/>
    <x v="4"/>
    <s v="Thursday"/>
    <d v="2023-06-25T00:00:00"/>
    <d v="2023-04-01T00:00:00"/>
    <x v="1"/>
    <d v="2023-06-01T00:00:00"/>
    <n v="2023"/>
  </r>
  <r>
    <x v="450"/>
    <x v="3"/>
    <x v="2"/>
    <s v="ART041"/>
    <d v="2023-03-06T00:00:00"/>
    <x v="3"/>
    <x v="6"/>
    <n v="8"/>
    <n v="2150"/>
    <n v="17200"/>
    <n v="8434"/>
    <n v="2253"/>
    <n v="6513"/>
    <n v="42"/>
    <x v="4"/>
    <s v="Monday"/>
    <d v="2023-03-05T00:00:00"/>
    <d v="2023-01-01T00:00:00"/>
    <x v="2"/>
    <d v="2023-03-01T00:00:00"/>
    <n v="2023"/>
  </r>
  <r>
    <x v="451"/>
    <x v="4"/>
    <x v="2"/>
    <s v="ART039"/>
    <d v="2023-04-15T00:00:00"/>
    <x v="2"/>
    <x v="6"/>
    <n v="3"/>
    <n v="62401"/>
    <n v="187203"/>
    <n v="56326"/>
    <n v="27628"/>
    <n v="103249"/>
    <n v="32"/>
    <x v="3"/>
    <s v="Saturday"/>
    <d v="2023-04-09T00:00:00"/>
    <d v="2023-04-01T00:00:00"/>
    <x v="5"/>
    <d v="2023-04-01T00:00:00"/>
    <n v="2023"/>
  </r>
  <r>
    <x v="452"/>
    <x v="3"/>
    <x v="2"/>
    <s v="ART018"/>
    <d v="2023-07-08T00:00:00"/>
    <x v="1"/>
    <x v="1"/>
    <n v="2"/>
    <n v="22901"/>
    <n v="45802"/>
    <n v="25939"/>
    <n v="7259"/>
    <n v="12604"/>
    <n v="11"/>
    <x v="4"/>
    <s v="Saturday"/>
    <d v="2023-07-02T00:00:00"/>
    <d v="2023-07-01T00:00:00"/>
    <x v="0"/>
    <d v="2023-07-01T00:00:00"/>
    <n v="2023"/>
  </r>
  <r>
    <x v="453"/>
    <x v="2"/>
    <x v="1"/>
    <s v="ART017"/>
    <d v="2023-08-01T00:00:00"/>
    <x v="2"/>
    <x v="3"/>
    <n v="2"/>
    <n v="17860"/>
    <n v="35720"/>
    <n v="16243"/>
    <n v="4431"/>
    <n v="15046"/>
    <n v="6"/>
    <x v="2"/>
    <s v="Tuesday"/>
    <d v="2023-07-30T00:00:00"/>
    <d v="2023-07-01T00:00:00"/>
    <x v="7"/>
    <d v="2023-08-01T00:00:00"/>
    <n v="2023"/>
  </r>
  <r>
    <x v="454"/>
    <x v="0"/>
    <x v="0"/>
    <s v="ART035"/>
    <d v="2023-02-12T00:00:00"/>
    <x v="0"/>
    <x v="4"/>
    <n v="7"/>
    <n v="20265"/>
    <n v="141855"/>
    <n v="84137"/>
    <n v="19983"/>
    <n v="37735"/>
    <n v="7"/>
    <x v="4"/>
    <s v="Sunday"/>
    <d v="2023-02-12T00:00:00"/>
    <d v="2023-01-01T00:00:00"/>
    <x v="6"/>
    <d v="2023-02-01T00:00:00"/>
    <n v="2023"/>
  </r>
  <r>
    <x v="455"/>
    <x v="0"/>
    <x v="0"/>
    <s v="ART011"/>
    <d v="2023-08-31T00:00:00"/>
    <x v="3"/>
    <x v="0"/>
    <n v="4"/>
    <n v="67947"/>
    <n v="271788"/>
    <n v="123508"/>
    <n v="42406"/>
    <n v="105874"/>
    <n v="36"/>
    <x v="4"/>
    <s v="Thursday"/>
    <d v="2023-08-27T00:00:00"/>
    <d v="2023-07-01T00:00:00"/>
    <x v="7"/>
    <d v="2023-08-01T00:00:00"/>
    <n v="2023"/>
  </r>
  <r>
    <x v="456"/>
    <x v="1"/>
    <x v="0"/>
    <s v="ART001"/>
    <d v="2023-08-20T00:00:00"/>
    <x v="1"/>
    <x v="2"/>
    <n v="3"/>
    <n v="56947"/>
    <n v="170841"/>
    <n v="58292"/>
    <n v="23473"/>
    <n v="89076"/>
    <n v="19"/>
    <x v="2"/>
    <s v="Sunday"/>
    <d v="2023-08-20T00:00:00"/>
    <d v="2023-07-01T00:00:00"/>
    <x v="7"/>
    <d v="2023-08-01T00:00:00"/>
    <n v="2023"/>
  </r>
  <r>
    <x v="457"/>
    <x v="1"/>
    <x v="0"/>
    <s v="ART020"/>
    <d v="2023-04-27T00:00:00"/>
    <x v="3"/>
    <x v="3"/>
    <n v="5"/>
    <n v="11910"/>
    <n v="59550"/>
    <n v="32285"/>
    <n v="8553"/>
    <n v="18712"/>
    <n v="0"/>
    <x v="4"/>
    <s v="Thursday"/>
    <d v="2023-04-23T00:00:00"/>
    <d v="2023-04-01T00:00:00"/>
    <x v="5"/>
    <d v="2023-04-01T00:00:00"/>
    <n v="2023"/>
  </r>
  <r>
    <x v="458"/>
    <x v="0"/>
    <x v="0"/>
    <s v="ART035"/>
    <d v="2023-01-23T00:00:00"/>
    <x v="0"/>
    <x v="0"/>
    <n v="8"/>
    <n v="45446"/>
    <n v="363568"/>
    <n v="181624"/>
    <n v="64048"/>
    <n v="117896"/>
    <n v="41"/>
    <x v="1"/>
    <s v="Monday"/>
    <d v="2023-01-22T00:00:00"/>
    <d v="2023-01-01T00:00:00"/>
    <x v="8"/>
    <d v="2023-01-01T00:00:00"/>
    <n v="2023"/>
  </r>
  <r>
    <x v="459"/>
    <x v="3"/>
    <x v="2"/>
    <s v="ART033"/>
    <d v="2023-09-14T00:00:00"/>
    <x v="3"/>
    <x v="3"/>
    <n v="1"/>
    <n v="4921"/>
    <n v="4921"/>
    <n v="1631"/>
    <n v="980"/>
    <n v="2310"/>
    <n v="29"/>
    <x v="0"/>
    <s v="Thursday"/>
    <d v="2023-09-10T00:00:00"/>
    <d v="2023-07-01T00:00:00"/>
    <x v="9"/>
    <d v="2023-09-01T00:00:00"/>
    <n v="2023"/>
  </r>
  <r>
    <x v="460"/>
    <x v="2"/>
    <x v="1"/>
    <s v="ART036"/>
    <d v="2023-11-04T00:00:00"/>
    <x v="3"/>
    <x v="4"/>
    <n v="10"/>
    <n v="11652"/>
    <n v="116520"/>
    <n v="36721"/>
    <n v="15236"/>
    <n v="64563"/>
    <n v="27"/>
    <x v="1"/>
    <s v="Saturday"/>
    <d v="2023-10-29T00:00:00"/>
    <d v="2023-10-01T00:00:00"/>
    <x v="10"/>
    <d v="2023-11-01T00:00:00"/>
    <n v="2023"/>
  </r>
  <r>
    <x v="461"/>
    <x v="1"/>
    <x v="0"/>
    <s v="ART020"/>
    <d v="2023-09-04T00:00:00"/>
    <x v="1"/>
    <x v="6"/>
    <n v="9"/>
    <n v="57798"/>
    <n v="520182"/>
    <n v="193325"/>
    <n v="85002"/>
    <n v="241855"/>
    <n v="22"/>
    <x v="3"/>
    <s v="Monday"/>
    <d v="2023-09-03T00:00:00"/>
    <d v="2023-07-01T00:00:00"/>
    <x v="9"/>
    <d v="2023-09-01T00:00:00"/>
    <n v="2023"/>
  </r>
  <r>
    <x v="462"/>
    <x v="0"/>
    <x v="0"/>
    <s v="ART040"/>
    <d v="2023-01-19T00:00:00"/>
    <x v="2"/>
    <x v="2"/>
    <n v="6"/>
    <n v="60300"/>
    <n v="361800"/>
    <n v="197785"/>
    <n v="48474"/>
    <n v="115541"/>
    <n v="8"/>
    <x v="3"/>
    <s v="Thursday"/>
    <d v="2023-01-15T00:00:00"/>
    <d v="2023-01-01T00:00:00"/>
    <x v="8"/>
    <d v="2023-01-01T00:00:00"/>
    <n v="2023"/>
  </r>
  <r>
    <x v="463"/>
    <x v="2"/>
    <x v="1"/>
    <s v="ART024"/>
    <d v="2023-10-28T00:00:00"/>
    <x v="0"/>
    <x v="6"/>
    <n v="10"/>
    <n v="49046"/>
    <n v="490460"/>
    <n v="224432"/>
    <n v="97156"/>
    <n v="168872"/>
    <n v="47"/>
    <x v="0"/>
    <s v="Saturday"/>
    <d v="2023-10-22T00:00:00"/>
    <d v="2023-10-01T00:00:00"/>
    <x v="3"/>
    <d v="2023-10-01T00:00:00"/>
    <n v="2023"/>
  </r>
  <r>
    <x v="464"/>
    <x v="0"/>
    <x v="0"/>
    <s v="ART014"/>
    <d v="2023-03-14T00:00:00"/>
    <x v="1"/>
    <x v="0"/>
    <n v="9"/>
    <n v="59824"/>
    <n v="538416"/>
    <n v="241049"/>
    <n v="72192"/>
    <n v="225175"/>
    <n v="28"/>
    <x v="1"/>
    <s v="Tuesday"/>
    <d v="2023-03-12T00:00:00"/>
    <d v="2023-01-01T00:00:00"/>
    <x v="2"/>
    <d v="2023-03-01T00:00:00"/>
    <n v="2023"/>
  </r>
  <r>
    <x v="465"/>
    <x v="4"/>
    <x v="2"/>
    <s v="ART041"/>
    <d v="2023-08-05T00:00:00"/>
    <x v="3"/>
    <x v="0"/>
    <n v="7"/>
    <n v="39016"/>
    <n v="273112"/>
    <n v="82991"/>
    <n v="27751"/>
    <n v="162370"/>
    <n v="31"/>
    <x v="4"/>
    <s v="Saturday"/>
    <d v="2023-07-30T00:00:00"/>
    <d v="2023-07-01T00:00:00"/>
    <x v="7"/>
    <d v="2023-08-01T00:00:00"/>
    <n v="2023"/>
  </r>
  <r>
    <x v="466"/>
    <x v="3"/>
    <x v="2"/>
    <s v="ART037"/>
    <d v="2023-01-31T00:00:00"/>
    <x v="2"/>
    <x v="6"/>
    <n v="8"/>
    <n v="28808"/>
    <n v="230464"/>
    <n v="84454"/>
    <n v="34065"/>
    <n v="111945"/>
    <n v="8"/>
    <x v="0"/>
    <s v="Tuesday"/>
    <d v="2023-01-29T00:00:00"/>
    <d v="2023-01-01T00:00:00"/>
    <x v="8"/>
    <d v="2023-01-01T00:00:00"/>
    <n v="2023"/>
  </r>
  <r>
    <x v="467"/>
    <x v="4"/>
    <x v="2"/>
    <s v="ART043"/>
    <d v="2023-02-04T00:00:00"/>
    <x v="2"/>
    <x v="5"/>
    <n v="1"/>
    <n v="13288"/>
    <n v="13288"/>
    <n v="5625"/>
    <n v="1832"/>
    <n v="5831"/>
    <n v="11"/>
    <x v="4"/>
    <s v="Saturday"/>
    <d v="2023-01-29T00:00:00"/>
    <d v="2023-01-01T00:00:00"/>
    <x v="6"/>
    <d v="2023-02-01T00:00:00"/>
    <n v="2023"/>
  </r>
  <r>
    <x v="468"/>
    <x v="0"/>
    <x v="0"/>
    <s v="ART025"/>
    <d v="2023-10-19T00:00:00"/>
    <x v="1"/>
    <x v="3"/>
    <n v="9"/>
    <n v="55572"/>
    <n v="500148"/>
    <n v="208555"/>
    <n v="53287"/>
    <n v="238306"/>
    <n v="41"/>
    <x v="4"/>
    <s v="Thursday"/>
    <d v="2023-10-15T00:00:00"/>
    <d v="2023-10-01T00:00:00"/>
    <x v="3"/>
    <d v="2023-10-01T00:00:00"/>
    <n v="2023"/>
  </r>
  <r>
    <x v="469"/>
    <x v="4"/>
    <x v="2"/>
    <s v="ART016"/>
    <d v="2023-09-06T00:00:00"/>
    <x v="2"/>
    <x v="5"/>
    <n v="6"/>
    <n v="19569"/>
    <n v="117414"/>
    <n v="49499"/>
    <n v="19799"/>
    <n v="48116"/>
    <n v="10"/>
    <x v="2"/>
    <s v="Wednesday"/>
    <d v="2023-09-03T00:00:00"/>
    <d v="2023-07-01T00:00:00"/>
    <x v="9"/>
    <d v="2023-09-01T00:00:00"/>
    <n v="2023"/>
  </r>
  <r>
    <x v="470"/>
    <x v="1"/>
    <x v="0"/>
    <s v="ART034"/>
    <d v="2023-06-29T00:00:00"/>
    <x v="3"/>
    <x v="3"/>
    <n v="8"/>
    <n v="20639"/>
    <n v="165112"/>
    <n v="92428"/>
    <n v="20638"/>
    <n v="52046"/>
    <n v="18"/>
    <x v="1"/>
    <s v="Thursday"/>
    <d v="2023-06-25T00:00:00"/>
    <d v="2023-04-01T00:00:00"/>
    <x v="1"/>
    <d v="2023-06-01T00:00:00"/>
    <n v="2023"/>
  </r>
  <r>
    <x v="471"/>
    <x v="3"/>
    <x v="2"/>
    <s v="ART016"/>
    <d v="2023-09-09T00:00:00"/>
    <x v="3"/>
    <x v="1"/>
    <n v="1"/>
    <n v="20824"/>
    <n v="20824"/>
    <n v="9671"/>
    <n v="3852"/>
    <n v="7301"/>
    <n v="29"/>
    <x v="0"/>
    <s v="Saturday"/>
    <d v="2023-09-03T00:00:00"/>
    <d v="2023-07-01T00:00:00"/>
    <x v="9"/>
    <d v="2023-09-01T00:00:00"/>
    <n v="2023"/>
  </r>
  <r>
    <x v="472"/>
    <x v="2"/>
    <x v="1"/>
    <s v="ART019"/>
    <d v="2023-02-02T00:00:00"/>
    <x v="0"/>
    <x v="2"/>
    <n v="10"/>
    <n v="18354"/>
    <n v="183540"/>
    <n v="89285"/>
    <n v="33598"/>
    <n v="60657"/>
    <n v="46"/>
    <x v="2"/>
    <s v="Thursday"/>
    <d v="2023-01-29T00:00:00"/>
    <d v="2023-01-01T00:00:00"/>
    <x v="6"/>
    <d v="2023-02-01T00:00:00"/>
    <n v="2023"/>
  </r>
  <r>
    <x v="473"/>
    <x v="2"/>
    <x v="1"/>
    <s v="ART043"/>
    <d v="2023-04-29T00:00:00"/>
    <x v="0"/>
    <x v="2"/>
    <n v="7"/>
    <n v="52465"/>
    <n v="367255"/>
    <n v="118747"/>
    <n v="54309"/>
    <n v="194199"/>
    <n v="12"/>
    <x v="2"/>
    <s v="Saturday"/>
    <d v="2023-04-23T00:00:00"/>
    <d v="2023-04-01T00:00:00"/>
    <x v="5"/>
    <d v="2023-04-01T00:00:00"/>
    <n v="2023"/>
  </r>
  <r>
    <x v="474"/>
    <x v="3"/>
    <x v="2"/>
    <s v="ART019"/>
    <d v="2023-01-05T00:00:00"/>
    <x v="1"/>
    <x v="2"/>
    <n v="5"/>
    <n v="62792"/>
    <n v="313960"/>
    <n v="108226"/>
    <n v="45320"/>
    <n v="160414"/>
    <n v="41"/>
    <x v="2"/>
    <s v="Thursday"/>
    <d v="2023-01-01T00:00:00"/>
    <d v="2023-01-01T00:00:00"/>
    <x v="8"/>
    <d v="2023-01-01T00:00:00"/>
    <n v="2023"/>
  </r>
  <r>
    <x v="475"/>
    <x v="0"/>
    <x v="0"/>
    <s v="ART020"/>
    <d v="2023-03-03T00:00:00"/>
    <x v="1"/>
    <x v="6"/>
    <n v="9"/>
    <n v="7670"/>
    <n v="69030"/>
    <n v="21824"/>
    <n v="13442"/>
    <n v="33764"/>
    <n v="25"/>
    <x v="4"/>
    <s v="Friday"/>
    <d v="2023-02-26T00:00:00"/>
    <d v="2023-01-01T00:00:00"/>
    <x v="2"/>
    <d v="2023-03-01T00:00:00"/>
    <n v="2023"/>
  </r>
  <r>
    <x v="476"/>
    <x v="3"/>
    <x v="2"/>
    <s v="ART028"/>
    <d v="2023-08-23T00:00:00"/>
    <x v="2"/>
    <x v="0"/>
    <n v="4"/>
    <n v="41577"/>
    <n v="166308"/>
    <n v="86616"/>
    <n v="19513"/>
    <n v="60179"/>
    <n v="10"/>
    <x v="0"/>
    <s v="Wednesday"/>
    <d v="2023-08-20T00:00:00"/>
    <d v="2023-07-01T00:00:00"/>
    <x v="7"/>
    <d v="2023-08-01T00:00:00"/>
    <n v="2023"/>
  </r>
  <r>
    <x v="477"/>
    <x v="3"/>
    <x v="2"/>
    <s v="ART021"/>
    <d v="2023-03-09T00:00:00"/>
    <x v="1"/>
    <x v="2"/>
    <n v="7"/>
    <n v="11353"/>
    <n v="79471"/>
    <n v="24748"/>
    <n v="13441"/>
    <n v="41282"/>
    <n v="26"/>
    <x v="1"/>
    <s v="Thursday"/>
    <d v="2023-03-05T00:00:00"/>
    <d v="2023-01-01T00:00:00"/>
    <x v="2"/>
    <d v="2023-03-01T00:00:00"/>
    <n v="2023"/>
  </r>
  <r>
    <x v="478"/>
    <x v="1"/>
    <x v="0"/>
    <s v="ART038"/>
    <d v="2023-09-21T00:00:00"/>
    <x v="0"/>
    <x v="4"/>
    <n v="2"/>
    <n v="26219"/>
    <n v="52438"/>
    <n v="21563"/>
    <n v="5270"/>
    <n v="25605"/>
    <n v="17"/>
    <x v="3"/>
    <s v="Thursday"/>
    <d v="2023-09-17T00:00:00"/>
    <d v="2023-07-01T00:00:00"/>
    <x v="9"/>
    <d v="2023-09-01T00:00:00"/>
    <n v="2023"/>
  </r>
  <r>
    <x v="479"/>
    <x v="0"/>
    <x v="0"/>
    <s v="ART013"/>
    <d v="2023-03-27T00:00:00"/>
    <x v="3"/>
    <x v="5"/>
    <n v="8"/>
    <n v="59381"/>
    <n v="475048"/>
    <n v="179212"/>
    <n v="82326"/>
    <n v="213510"/>
    <n v="43"/>
    <x v="0"/>
    <s v="Monday"/>
    <d v="2023-03-26T00:00:00"/>
    <d v="2023-01-01T00:00:00"/>
    <x v="2"/>
    <d v="2023-03-01T00:00:00"/>
    <n v="2023"/>
  </r>
  <r>
    <x v="480"/>
    <x v="0"/>
    <x v="0"/>
    <s v="ART043"/>
    <d v="2023-01-21T00:00:00"/>
    <x v="3"/>
    <x v="2"/>
    <n v="5"/>
    <n v="42902"/>
    <n v="214510"/>
    <n v="64404"/>
    <n v="30141"/>
    <n v="119965"/>
    <n v="48"/>
    <x v="3"/>
    <s v="Saturday"/>
    <d v="2023-01-15T00:00:00"/>
    <d v="2023-01-01T00:00:00"/>
    <x v="8"/>
    <d v="2023-01-01T00:00:00"/>
    <n v="2023"/>
  </r>
  <r>
    <x v="481"/>
    <x v="3"/>
    <x v="2"/>
    <s v="ART015"/>
    <d v="2023-11-11T00:00:00"/>
    <x v="1"/>
    <x v="6"/>
    <n v="7"/>
    <n v="3687"/>
    <n v="25809"/>
    <n v="8159"/>
    <n v="4690"/>
    <n v="12960"/>
    <n v="9"/>
    <x v="4"/>
    <s v="Saturday"/>
    <d v="2023-11-05T00:00:00"/>
    <d v="2023-10-01T00:00:00"/>
    <x v="10"/>
    <d v="2023-11-01T00:00:00"/>
    <n v="2023"/>
  </r>
  <r>
    <x v="482"/>
    <x v="0"/>
    <x v="0"/>
    <s v="ART024"/>
    <d v="2023-06-14T00:00:00"/>
    <x v="3"/>
    <x v="6"/>
    <n v="1"/>
    <n v="60040"/>
    <n v="60040"/>
    <n v="20930"/>
    <n v="11912"/>
    <n v="27198"/>
    <n v="50"/>
    <x v="2"/>
    <s v="Wednesday"/>
    <d v="2023-06-11T00:00:00"/>
    <d v="2023-04-01T00:00:00"/>
    <x v="1"/>
    <d v="2023-06-01T00:00:00"/>
    <n v="2023"/>
  </r>
  <r>
    <x v="483"/>
    <x v="4"/>
    <x v="2"/>
    <s v="ART013"/>
    <d v="2023-02-10T00:00:00"/>
    <x v="1"/>
    <x v="2"/>
    <n v="6"/>
    <n v="52579"/>
    <n v="315474"/>
    <n v="175858"/>
    <n v="62336"/>
    <n v="77280"/>
    <n v="7"/>
    <x v="1"/>
    <s v="Friday"/>
    <d v="2023-02-05T00:00:00"/>
    <d v="2023-01-01T00:00:00"/>
    <x v="6"/>
    <d v="2023-02-01T00:00:00"/>
    <n v="2023"/>
  </r>
  <r>
    <x v="484"/>
    <x v="3"/>
    <x v="2"/>
    <s v="ART048"/>
    <d v="2023-01-17T00:00:00"/>
    <x v="3"/>
    <x v="6"/>
    <n v="8"/>
    <n v="31483"/>
    <n v="251864"/>
    <n v="135655"/>
    <n v="26629"/>
    <n v="89580"/>
    <n v="42"/>
    <x v="4"/>
    <s v="Tuesday"/>
    <d v="2023-01-15T00:00:00"/>
    <d v="2023-01-01T00:00:00"/>
    <x v="8"/>
    <d v="2023-01-01T00:00:00"/>
    <n v="2023"/>
  </r>
  <r>
    <x v="485"/>
    <x v="4"/>
    <x v="2"/>
    <s v="ART037"/>
    <d v="2023-03-18T00:00:00"/>
    <x v="2"/>
    <x v="0"/>
    <n v="7"/>
    <n v="56444"/>
    <n v="395108"/>
    <n v="157774"/>
    <n v="74248"/>
    <n v="163086"/>
    <n v="49"/>
    <x v="4"/>
    <s v="Saturday"/>
    <d v="2023-03-12T00:00:00"/>
    <d v="2023-01-01T00:00:00"/>
    <x v="2"/>
    <d v="2023-03-01T00:00:00"/>
    <n v="2023"/>
  </r>
  <r>
    <x v="486"/>
    <x v="2"/>
    <x v="1"/>
    <s v="ART049"/>
    <d v="2023-05-28T00:00:00"/>
    <x v="1"/>
    <x v="5"/>
    <n v="9"/>
    <n v="68509"/>
    <n v="616581"/>
    <n v="345090"/>
    <n v="111842"/>
    <n v="159649"/>
    <n v="14"/>
    <x v="0"/>
    <s v="Sunday"/>
    <d v="2023-05-28T00:00:00"/>
    <d v="2023-04-01T00:00:00"/>
    <x v="4"/>
    <d v="2023-05-01T00:00:00"/>
    <n v="2023"/>
  </r>
  <r>
    <x v="487"/>
    <x v="3"/>
    <x v="2"/>
    <s v="ART037"/>
    <d v="2023-04-23T00:00:00"/>
    <x v="0"/>
    <x v="0"/>
    <n v="7"/>
    <n v="18888"/>
    <n v="132216"/>
    <n v="65978"/>
    <n v="23122"/>
    <n v="43116"/>
    <n v="49"/>
    <x v="3"/>
    <s v="Sunday"/>
    <d v="2023-04-23T00:00:00"/>
    <d v="2023-04-01T00:00:00"/>
    <x v="5"/>
    <d v="2023-04-01T00:00:00"/>
    <n v="2023"/>
  </r>
  <r>
    <x v="488"/>
    <x v="1"/>
    <x v="0"/>
    <s v="ART043"/>
    <d v="2023-07-22T00:00:00"/>
    <x v="0"/>
    <x v="2"/>
    <n v="8"/>
    <n v="31819"/>
    <n v="254552"/>
    <n v="150164"/>
    <n v="47967"/>
    <n v="56421"/>
    <n v="50"/>
    <x v="3"/>
    <s v="Saturday"/>
    <d v="2023-07-16T00:00:00"/>
    <d v="2023-07-01T00:00:00"/>
    <x v="0"/>
    <d v="2023-07-01T00:00:00"/>
    <n v="2023"/>
  </r>
  <r>
    <x v="489"/>
    <x v="3"/>
    <x v="2"/>
    <s v="ART033"/>
    <d v="2023-01-06T00:00:00"/>
    <x v="2"/>
    <x v="5"/>
    <n v="2"/>
    <n v="29243"/>
    <n v="58486"/>
    <n v="34296"/>
    <n v="8964"/>
    <n v="15226"/>
    <n v="37"/>
    <x v="0"/>
    <s v="Friday"/>
    <d v="2023-01-01T00:00:00"/>
    <d v="2023-01-01T00:00:00"/>
    <x v="8"/>
    <d v="2023-01-01T00:00:00"/>
    <n v="2023"/>
  </r>
  <r>
    <x v="490"/>
    <x v="1"/>
    <x v="0"/>
    <s v="ART011"/>
    <d v="2023-08-28T00:00:00"/>
    <x v="0"/>
    <x v="0"/>
    <n v="2"/>
    <n v="11279"/>
    <n v="22558"/>
    <n v="13316"/>
    <n v="3270"/>
    <n v="5972"/>
    <n v="21"/>
    <x v="2"/>
    <s v="Monday"/>
    <d v="2023-08-27T00:00:00"/>
    <d v="2023-07-01T00:00:00"/>
    <x v="7"/>
    <d v="2023-08-01T00:00:00"/>
    <n v="2023"/>
  </r>
  <r>
    <x v="491"/>
    <x v="3"/>
    <x v="2"/>
    <s v="ART050"/>
    <d v="2023-03-24T00:00:00"/>
    <x v="3"/>
    <x v="1"/>
    <n v="3"/>
    <n v="13055"/>
    <n v="39165"/>
    <n v="21567"/>
    <n v="6239"/>
    <n v="11359"/>
    <n v="21"/>
    <x v="0"/>
    <s v="Friday"/>
    <d v="2023-03-19T00:00:00"/>
    <d v="2023-01-01T00:00:00"/>
    <x v="2"/>
    <d v="2023-03-01T00:00:00"/>
    <n v="2023"/>
  </r>
  <r>
    <x v="492"/>
    <x v="4"/>
    <x v="2"/>
    <s v="ART028"/>
    <d v="2023-11-15T00:00:00"/>
    <x v="0"/>
    <x v="4"/>
    <n v="10"/>
    <n v="9173"/>
    <n v="91730"/>
    <n v="32412"/>
    <n v="10915"/>
    <n v="48403"/>
    <n v="10"/>
    <x v="4"/>
    <s v="Wednesday"/>
    <d v="2023-11-12T00:00:00"/>
    <d v="2023-10-01T00:00:00"/>
    <x v="10"/>
    <d v="2023-11-01T00:00:00"/>
    <n v="2023"/>
  </r>
  <r>
    <x v="493"/>
    <x v="3"/>
    <x v="2"/>
    <s v="ART030"/>
    <d v="2023-06-01T00:00:00"/>
    <x v="0"/>
    <x v="6"/>
    <n v="9"/>
    <n v="30803"/>
    <n v="277227"/>
    <n v="109072"/>
    <n v="29103"/>
    <n v="139052"/>
    <n v="6"/>
    <x v="3"/>
    <s v="Thursday"/>
    <d v="2023-05-28T00:00:00"/>
    <d v="2023-04-01T00:00:00"/>
    <x v="1"/>
    <d v="2023-06-01T00:00:00"/>
    <n v="2023"/>
  </r>
  <r>
    <x v="494"/>
    <x v="0"/>
    <x v="0"/>
    <s v="ART043"/>
    <d v="2023-09-22T00:00:00"/>
    <x v="2"/>
    <x v="4"/>
    <n v="2"/>
    <n v="3955"/>
    <n v="7910"/>
    <n v="4573"/>
    <n v="1325"/>
    <n v="2012"/>
    <n v="20"/>
    <x v="1"/>
    <s v="Friday"/>
    <d v="2023-09-17T00:00:00"/>
    <d v="2023-07-01T00:00:00"/>
    <x v="9"/>
    <d v="2023-09-01T00:00:00"/>
    <n v="2023"/>
  </r>
  <r>
    <x v="495"/>
    <x v="1"/>
    <x v="0"/>
    <s v="ART026"/>
    <d v="2023-10-30T00:00:00"/>
    <x v="3"/>
    <x v="2"/>
    <n v="3"/>
    <n v="13151"/>
    <n v="39453"/>
    <n v="23479"/>
    <n v="5989"/>
    <n v="9985"/>
    <n v="28"/>
    <x v="2"/>
    <s v="Monday"/>
    <d v="2023-10-29T00:00:00"/>
    <d v="2023-10-01T00:00:00"/>
    <x v="3"/>
    <d v="2023-10-01T00:00:00"/>
    <n v="2023"/>
  </r>
  <r>
    <x v="496"/>
    <x v="4"/>
    <x v="2"/>
    <s v="ART048"/>
    <d v="2023-04-02T00:00:00"/>
    <x v="1"/>
    <x v="3"/>
    <n v="10"/>
    <n v="44204"/>
    <n v="442040"/>
    <n v="208318"/>
    <n v="69236"/>
    <n v="164486"/>
    <n v="42"/>
    <x v="4"/>
    <s v="Sunday"/>
    <d v="2023-04-02T00:00:00"/>
    <d v="2023-04-01T00:00:00"/>
    <x v="5"/>
    <d v="2023-04-01T00:00:00"/>
    <n v="2023"/>
  </r>
  <r>
    <x v="497"/>
    <x v="1"/>
    <x v="0"/>
    <s v="ART023"/>
    <d v="2023-03-21T00:00:00"/>
    <x v="3"/>
    <x v="5"/>
    <n v="4"/>
    <n v="54559"/>
    <n v="218236"/>
    <n v="130017"/>
    <n v="31833"/>
    <n v="56386"/>
    <n v="20"/>
    <x v="0"/>
    <s v="Tuesday"/>
    <d v="2023-03-19T00:00:00"/>
    <d v="2023-01-01T00:00:00"/>
    <x v="2"/>
    <d v="2023-03-01T00:00:00"/>
    <n v="2023"/>
  </r>
  <r>
    <x v="498"/>
    <x v="0"/>
    <x v="0"/>
    <s v="ART028"/>
    <d v="2023-06-16T00:00:00"/>
    <x v="0"/>
    <x v="5"/>
    <n v="7"/>
    <n v="21114"/>
    <n v="147798"/>
    <n v="44938"/>
    <n v="23757"/>
    <n v="79103"/>
    <n v="21"/>
    <x v="2"/>
    <s v="Friday"/>
    <d v="2023-06-11T00:00:00"/>
    <d v="2023-04-01T00:00:00"/>
    <x v="1"/>
    <d v="2023-06-01T00:00:00"/>
    <n v="2023"/>
  </r>
  <r>
    <x v="499"/>
    <x v="4"/>
    <x v="2"/>
    <s v="ART025"/>
    <d v="2023-04-14T00:00:00"/>
    <x v="2"/>
    <x v="5"/>
    <n v="7"/>
    <n v="55060"/>
    <n v="385420"/>
    <n v="142370"/>
    <n v="68658"/>
    <n v="174392"/>
    <n v="31"/>
    <x v="3"/>
    <s v="Friday"/>
    <d v="2023-04-09T00:00:00"/>
    <d v="2023-04-01T00:00:00"/>
    <x v="5"/>
    <d v="2023-04-01T00:00:00"/>
    <n v="2023"/>
  </r>
  <r>
    <x v="500"/>
    <x v="0"/>
    <x v="0"/>
    <s v="ART027"/>
    <d v="2023-04-27T00:00:00"/>
    <x v="2"/>
    <x v="2"/>
    <n v="4"/>
    <n v="54286"/>
    <n v="217144"/>
    <n v="116405"/>
    <n v="43228"/>
    <n v="57511"/>
    <n v="11"/>
    <x v="1"/>
    <s v="Thursday"/>
    <d v="2023-04-23T00:00:00"/>
    <d v="2023-04-01T00:00:00"/>
    <x v="5"/>
    <d v="2023-04-01T00:00:00"/>
    <n v="2023"/>
  </r>
  <r>
    <x v="501"/>
    <x v="1"/>
    <x v="0"/>
    <s v="ART017"/>
    <d v="2023-01-24T00:00:00"/>
    <x v="3"/>
    <x v="5"/>
    <n v="2"/>
    <n v="31698"/>
    <n v="63396"/>
    <n v="34258"/>
    <n v="12452"/>
    <n v="16686"/>
    <n v="0"/>
    <x v="1"/>
    <s v="Tuesday"/>
    <d v="2023-01-22T00:00:00"/>
    <d v="2023-01-01T00:00:00"/>
    <x v="8"/>
    <d v="2023-01-01T00:00:00"/>
    <n v="2023"/>
  </r>
  <r>
    <x v="502"/>
    <x v="4"/>
    <x v="2"/>
    <s v="ART002"/>
    <d v="2023-04-02T00:00:00"/>
    <x v="0"/>
    <x v="3"/>
    <n v="6"/>
    <n v="22248"/>
    <n v="133488"/>
    <n v="59801"/>
    <n v="19812"/>
    <n v="53875"/>
    <n v="19"/>
    <x v="3"/>
    <s v="Sunday"/>
    <d v="2023-04-02T00:00:00"/>
    <d v="2023-04-01T00:00:00"/>
    <x v="5"/>
    <d v="2023-04-01T00:00:00"/>
    <n v="2023"/>
  </r>
  <r>
    <x v="503"/>
    <x v="0"/>
    <x v="0"/>
    <s v="ART009"/>
    <d v="2023-03-28T00:00:00"/>
    <x v="0"/>
    <x v="6"/>
    <n v="7"/>
    <n v="46310"/>
    <n v="324170"/>
    <n v="129346"/>
    <n v="53336"/>
    <n v="141488"/>
    <n v="34"/>
    <x v="2"/>
    <s v="Tuesday"/>
    <d v="2023-03-26T00:00:00"/>
    <d v="2023-01-01T00:00:00"/>
    <x v="2"/>
    <d v="2023-03-01T00:00:00"/>
    <n v="2023"/>
  </r>
  <r>
    <x v="504"/>
    <x v="2"/>
    <x v="1"/>
    <s v="ART039"/>
    <d v="2023-07-14T00:00:00"/>
    <x v="3"/>
    <x v="2"/>
    <n v="8"/>
    <n v="10170"/>
    <n v="81360"/>
    <n v="47234"/>
    <n v="15492"/>
    <n v="18634"/>
    <n v="29"/>
    <x v="0"/>
    <s v="Friday"/>
    <d v="2023-07-09T00:00:00"/>
    <d v="2023-07-01T00:00:00"/>
    <x v="0"/>
    <d v="2023-07-01T00:00:00"/>
    <n v="2023"/>
  </r>
  <r>
    <x v="505"/>
    <x v="0"/>
    <x v="0"/>
    <s v="ART001"/>
    <d v="2023-01-27T00:00:00"/>
    <x v="0"/>
    <x v="6"/>
    <n v="7"/>
    <n v="2811"/>
    <n v="19677"/>
    <n v="6324"/>
    <n v="2132"/>
    <n v="11221"/>
    <n v="11"/>
    <x v="2"/>
    <s v="Friday"/>
    <d v="2023-01-22T00:00:00"/>
    <d v="2023-01-01T00:00:00"/>
    <x v="8"/>
    <d v="2023-01-01T00:00:00"/>
    <n v="2023"/>
  </r>
  <r>
    <x v="506"/>
    <x v="0"/>
    <x v="0"/>
    <s v="ART029"/>
    <d v="2023-04-16T00:00:00"/>
    <x v="1"/>
    <x v="1"/>
    <n v="9"/>
    <n v="16433"/>
    <n v="147897"/>
    <n v="52112"/>
    <n v="25601"/>
    <n v="70184"/>
    <n v="27"/>
    <x v="4"/>
    <s v="Sunday"/>
    <d v="2023-04-16T00:00:00"/>
    <d v="2023-04-01T00:00:00"/>
    <x v="5"/>
    <d v="2023-04-01T00:00:00"/>
    <n v="2023"/>
  </r>
  <r>
    <x v="507"/>
    <x v="0"/>
    <x v="0"/>
    <s v="ART007"/>
    <d v="2023-04-10T00:00:00"/>
    <x v="0"/>
    <x v="5"/>
    <n v="10"/>
    <n v="14345"/>
    <n v="143450"/>
    <n v="77944"/>
    <n v="18219"/>
    <n v="47287"/>
    <n v="1"/>
    <x v="4"/>
    <s v="Monday"/>
    <d v="2023-04-09T00:00:00"/>
    <d v="2023-04-01T00:00:00"/>
    <x v="5"/>
    <d v="2023-04-01T00:00:00"/>
    <n v="2023"/>
  </r>
  <r>
    <x v="508"/>
    <x v="4"/>
    <x v="2"/>
    <s v="ART032"/>
    <d v="2023-06-11T00:00:00"/>
    <x v="3"/>
    <x v="5"/>
    <n v="4"/>
    <n v="45419"/>
    <n v="181676"/>
    <n v="103072"/>
    <n v="20080"/>
    <n v="58524"/>
    <n v="8"/>
    <x v="4"/>
    <s v="Sunday"/>
    <d v="2023-06-11T00:00:00"/>
    <d v="2023-04-01T00:00:00"/>
    <x v="1"/>
    <d v="2023-06-01T00:00:00"/>
    <n v="2023"/>
  </r>
  <r>
    <x v="509"/>
    <x v="3"/>
    <x v="2"/>
    <s v="ART031"/>
    <d v="2023-10-30T00:00:00"/>
    <x v="3"/>
    <x v="0"/>
    <n v="3"/>
    <n v="64403"/>
    <n v="193209"/>
    <n v="83436"/>
    <n v="20389"/>
    <n v="89384"/>
    <n v="45"/>
    <x v="2"/>
    <s v="Monday"/>
    <d v="2023-10-29T00:00:00"/>
    <d v="2023-10-01T00:00:00"/>
    <x v="3"/>
    <d v="2023-10-01T00:00:00"/>
    <n v="2023"/>
  </r>
  <r>
    <x v="510"/>
    <x v="0"/>
    <x v="0"/>
    <s v="ART031"/>
    <d v="2023-10-13T00:00:00"/>
    <x v="3"/>
    <x v="1"/>
    <n v="4"/>
    <n v="44861"/>
    <n v="179444"/>
    <n v="83212"/>
    <n v="33733"/>
    <n v="62499"/>
    <n v="30"/>
    <x v="4"/>
    <s v="Friday"/>
    <d v="2023-10-08T00:00:00"/>
    <d v="2023-10-01T00:00:00"/>
    <x v="3"/>
    <d v="2023-10-01T00:00:00"/>
    <n v="2023"/>
  </r>
  <r>
    <x v="511"/>
    <x v="3"/>
    <x v="2"/>
    <s v="ART015"/>
    <d v="2023-07-04T00:00:00"/>
    <x v="2"/>
    <x v="3"/>
    <n v="3"/>
    <n v="32514"/>
    <n v="97542"/>
    <n v="51257"/>
    <n v="17014"/>
    <n v="29271"/>
    <n v="48"/>
    <x v="4"/>
    <s v="Tuesday"/>
    <d v="2023-07-02T00:00:00"/>
    <d v="2023-07-01T00:00:00"/>
    <x v="0"/>
    <d v="2023-07-01T00:00:00"/>
    <n v="2023"/>
  </r>
  <r>
    <x v="512"/>
    <x v="1"/>
    <x v="0"/>
    <s v="ART047"/>
    <d v="2023-03-22T00:00:00"/>
    <x v="2"/>
    <x v="0"/>
    <n v="1"/>
    <n v="46506"/>
    <n v="46506"/>
    <n v="27610"/>
    <n v="8103"/>
    <n v="10793"/>
    <n v="3"/>
    <x v="3"/>
    <s v="Wednesday"/>
    <d v="2023-03-19T00:00:00"/>
    <d v="2023-01-01T00:00:00"/>
    <x v="2"/>
    <d v="2023-03-01T00:00:00"/>
    <n v="2023"/>
  </r>
  <r>
    <x v="513"/>
    <x v="3"/>
    <x v="2"/>
    <s v="ART021"/>
    <d v="2023-04-11T00:00:00"/>
    <x v="2"/>
    <x v="5"/>
    <n v="2"/>
    <n v="5863"/>
    <n v="11726"/>
    <n v="5149"/>
    <n v="1498"/>
    <n v="5079"/>
    <n v="14"/>
    <x v="2"/>
    <s v="Tuesday"/>
    <d v="2023-04-09T00:00:00"/>
    <d v="2023-04-01T00:00:00"/>
    <x v="5"/>
    <d v="2023-04-01T00:00:00"/>
    <n v="2023"/>
  </r>
  <r>
    <x v="514"/>
    <x v="3"/>
    <x v="2"/>
    <s v="ART001"/>
    <d v="2023-04-14T00:00:00"/>
    <x v="0"/>
    <x v="3"/>
    <n v="1"/>
    <n v="45003"/>
    <n v="45003"/>
    <n v="17999"/>
    <n v="6045"/>
    <n v="20959"/>
    <n v="37"/>
    <x v="2"/>
    <s v="Friday"/>
    <d v="2023-04-09T00:00:00"/>
    <d v="2023-04-01T00:00:00"/>
    <x v="5"/>
    <d v="2023-04-01T00:00:00"/>
    <n v="2023"/>
  </r>
  <r>
    <x v="515"/>
    <x v="4"/>
    <x v="2"/>
    <s v="ART018"/>
    <d v="2023-10-19T00:00:00"/>
    <x v="1"/>
    <x v="1"/>
    <n v="10"/>
    <n v="24413"/>
    <n v="244130"/>
    <n v="111604"/>
    <n v="24707"/>
    <n v="107819"/>
    <n v="27"/>
    <x v="4"/>
    <s v="Thursday"/>
    <d v="2023-10-15T00:00:00"/>
    <d v="2023-10-01T00:00:00"/>
    <x v="3"/>
    <d v="2023-10-01T00:00:00"/>
    <n v="2023"/>
  </r>
  <r>
    <x v="516"/>
    <x v="4"/>
    <x v="2"/>
    <s v="ART049"/>
    <d v="2023-06-30T00:00:00"/>
    <x v="2"/>
    <x v="5"/>
    <n v="3"/>
    <n v="19153"/>
    <n v="57459"/>
    <n v="31239"/>
    <n v="8391"/>
    <n v="17829"/>
    <n v="43"/>
    <x v="3"/>
    <s v="Friday"/>
    <d v="2023-06-25T00:00:00"/>
    <d v="2023-04-01T00:00:00"/>
    <x v="1"/>
    <d v="2023-06-01T00:00:00"/>
    <n v="2023"/>
  </r>
  <r>
    <x v="517"/>
    <x v="0"/>
    <x v="0"/>
    <s v="ART024"/>
    <d v="2023-09-15T00:00:00"/>
    <x v="2"/>
    <x v="2"/>
    <n v="2"/>
    <n v="35537"/>
    <n v="71074"/>
    <n v="22367"/>
    <n v="13182"/>
    <n v="35525"/>
    <n v="37"/>
    <x v="3"/>
    <s v="Friday"/>
    <d v="2023-09-10T00:00:00"/>
    <d v="2023-07-01T00:00:00"/>
    <x v="9"/>
    <d v="2023-09-01T00:00:00"/>
    <n v="2023"/>
  </r>
  <r>
    <x v="518"/>
    <x v="0"/>
    <x v="0"/>
    <s v="ART044"/>
    <d v="2023-10-22T00:00:00"/>
    <x v="0"/>
    <x v="6"/>
    <n v="7"/>
    <n v="46386"/>
    <n v="324702"/>
    <n v="146899"/>
    <n v="45035"/>
    <n v="132768"/>
    <n v="8"/>
    <x v="3"/>
    <s v="Sunday"/>
    <d v="2023-10-22T00:00:00"/>
    <d v="2023-10-01T00:00:00"/>
    <x v="3"/>
    <d v="2023-10-01T00:00:00"/>
    <n v="2023"/>
  </r>
  <r>
    <x v="519"/>
    <x v="2"/>
    <x v="1"/>
    <s v="ART006"/>
    <d v="2023-09-25T00:00:00"/>
    <x v="2"/>
    <x v="0"/>
    <n v="2"/>
    <n v="57392"/>
    <n v="114784"/>
    <n v="51059"/>
    <n v="12627"/>
    <n v="51098"/>
    <n v="37"/>
    <x v="0"/>
    <s v="Monday"/>
    <d v="2023-09-24T00:00:00"/>
    <d v="2023-07-01T00:00:00"/>
    <x v="9"/>
    <d v="2023-09-01T00:00:00"/>
    <n v="2023"/>
  </r>
  <r>
    <x v="520"/>
    <x v="1"/>
    <x v="0"/>
    <s v="ART025"/>
    <d v="2023-08-29T00:00:00"/>
    <x v="3"/>
    <x v="3"/>
    <n v="3"/>
    <n v="68274"/>
    <n v="204822"/>
    <n v="85394"/>
    <n v="23203"/>
    <n v="96225"/>
    <n v="31"/>
    <x v="0"/>
    <s v="Tuesday"/>
    <d v="2023-08-27T00:00:00"/>
    <d v="2023-07-01T00:00:00"/>
    <x v="7"/>
    <d v="2023-08-01T00:00:00"/>
    <n v="2023"/>
  </r>
  <r>
    <x v="521"/>
    <x v="2"/>
    <x v="1"/>
    <s v="ART021"/>
    <d v="2023-06-24T00:00:00"/>
    <x v="1"/>
    <x v="3"/>
    <n v="10"/>
    <n v="7100"/>
    <n v="71000"/>
    <n v="39604"/>
    <n v="12033"/>
    <n v="19363"/>
    <n v="5"/>
    <x v="0"/>
    <s v="Saturday"/>
    <d v="2023-06-18T00:00:00"/>
    <d v="2023-04-01T00:00:00"/>
    <x v="1"/>
    <d v="2023-06-01T00:00:00"/>
    <n v="2023"/>
  </r>
  <r>
    <x v="522"/>
    <x v="2"/>
    <x v="1"/>
    <s v="ART047"/>
    <d v="2023-04-26T00:00:00"/>
    <x v="1"/>
    <x v="2"/>
    <n v="3"/>
    <n v="44643"/>
    <n v="133929"/>
    <n v="68290"/>
    <n v="20383"/>
    <n v="45256"/>
    <n v="0"/>
    <x v="2"/>
    <s v="Wednesday"/>
    <d v="2023-04-23T00:00:00"/>
    <d v="2023-04-01T00:00:00"/>
    <x v="5"/>
    <d v="2023-04-01T00:00:00"/>
    <n v="2023"/>
  </r>
  <r>
    <x v="523"/>
    <x v="0"/>
    <x v="0"/>
    <s v="ART042"/>
    <d v="2023-10-13T00:00:00"/>
    <x v="1"/>
    <x v="5"/>
    <n v="8"/>
    <n v="24519"/>
    <n v="196152"/>
    <n v="87189"/>
    <n v="34951"/>
    <n v="74012"/>
    <n v="10"/>
    <x v="2"/>
    <s v="Friday"/>
    <d v="2023-10-08T00:00:00"/>
    <d v="2023-10-01T00:00:00"/>
    <x v="3"/>
    <d v="2023-10-01T00:00:00"/>
    <n v="2023"/>
  </r>
  <r>
    <x v="524"/>
    <x v="0"/>
    <x v="0"/>
    <s v="ART002"/>
    <d v="2023-07-11T00:00:00"/>
    <x v="1"/>
    <x v="5"/>
    <n v="10"/>
    <n v="28065"/>
    <n v="280650"/>
    <n v="96282"/>
    <n v="32275"/>
    <n v="152093"/>
    <n v="16"/>
    <x v="4"/>
    <s v="Tuesday"/>
    <d v="2023-07-09T00:00:00"/>
    <d v="2023-07-01T00:00:00"/>
    <x v="0"/>
    <d v="2023-07-01T00:00:00"/>
    <n v="2023"/>
  </r>
  <r>
    <x v="525"/>
    <x v="0"/>
    <x v="0"/>
    <s v="ART005"/>
    <d v="2023-09-14T00:00:00"/>
    <x v="0"/>
    <x v="0"/>
    <n v="9"/>
    <n v="62198"/>
    <n v="559782"/>
    <n v="168113"/>
    <n v="106293"/>
    <n v="285376"/>
    <n v="33"/>
    <x v="2"/>
    <s v="Thursday"/>
    <d v="2023-09-10T00:00:00"/>
    <d v="2023-07-01T00:00:00"/>
    <x v="9"/>
    <d v="2023-09-01T00:00:00"/>
    <n v="2023"/>
  </r>
  <r>
    <x v="526"/>
    <x v="0"/>
    <x v="0"/>
    <s v="ART021"/>
    <d v="2023-01-28T00:00:00"/>
    <x v="1"/>
    <x v="0"/>
    <n v="9"/>
    <n v="23832"/>
    <n v="214488"/>
    <n v="112348"/>
    <n v="29177"/>
    <n v="72963"/>
    <n v="29"/>
    <x v="0"/>
    <s v="Saturday"/>
    <d v="2023-01-22T00:00:00"/>
    <d v="2023-01-01T00:00:00"/>
    <x v="8"/>
    <d v="2023-01-01T00:00:00"/>
    <n v="2023"/>
  </r>
  <r>
    <x v="527"/>
    <x v="2"/>
    <x v="1"/>
    <s v="ART012"/>
    <d v="2023-08-11T00:00:00"/>
    <x v="2"/>
    <x v="4"/>
    <n v="9"/>
    <n v="16423"/>
    <n v="147807"/>
    <n v="83016"/>
    <n v="18634"/>
    <n v="46157"/>
    <n v="4"/>
    <x v="4"/>
    <s v="Friday"/>
    <d v="2023-08-06T00:00:00"/>
    <d v="2023-07-01T00:00:00"/>
    <x v="7"/>
    <d v="2023-08-01T00:00:00"/>
    <n v="2023"/>
  </r>
  <r>
    <x v="528"/>
    <x v="4"/>
    <x v="2"/>
    <s v="ART029"/>
    <d v="2023-03-23T00:00:00"/>
    <x v="0"/>
    <x v="6"/>
    <n v="7"/>
    <n v="19131"/>
    <n v="133917"/>
    <n v="74329"/>
    <n v="19097"/>
    <n v="40491"/>
    <n v="46"/>
    <x v="1"/>
    <s v="Thursday"/>
    <d v="2023-03-19T00:00:00"/>
    <d v="2023-01-01T00:00:00"/>
    <x v="2"/>
    <d v="2023-03-01T00:00:00"/>
    <n v="2023"/>
  </r>
  <r>
    <x v="529"/>
    <x v="3"/>
    <x v="2"/>
    <s v="ART008"/>
    <d v="2023-02-12T00:00:00"/>
    <x v="1"/>
    <x v="4"/>
    <n v="7"/>
    <n v="59850"/>
    <n v="418950"/>
    <n v="196329"/>
    <n v="56869"/>
    <n v="165752"/>
    <n v="27"/>
    <x v="3"/>
    <s v="Sunday"/>
    <d v="2023-02-12T00:00:00"/>
    <d v="2023-01-01T00:00:00"/>
    <x v="6"/>
    <d v="2023-02-01T00:00:00"/>
    <n v="2023"/>
  </r>
  <r>
    <x v="530"/>
    <x v="2"/>
    <x v="1"/>
    <s v="ART005"/>
    <d v="2023-05-27T00:00:00"/>
    <x v="3"/>
    <x v="0"/>
    <n v="3"/>
    <n v="18917"/>
    <n v="56751"/>
    <n v="31194"/>
    <n v="9228"/>
    <n v="16329"/>
    <n v="44"/>
    <x v="4"/>
    <s v="Saturday"/>
    <d v="2023-05-21T00:00:00"/>
    <d v="2023-04-01T00:00:00"/>
    <x v="4"/>
    <d v="2023-05-01T00:00:00"/>
    <n v="2023"/>
  </r>
  <r>
    <x v="531"/>
    <x v="0"/>
    <x v="0"/>
    <s v="ART005"/>
    <d v="2023-09-21T00:00:00"/>
    <x v="2"/>
    <x v="1"/>
    <n v="9"/>
    <n v="55207"/>
    <n v="496863"/>
    <n v="154502"/>
    <n v="67268"/>
    <n v="275093"/>
    <n v="50"/>
    <x v="4"/>
    <s v="Thursday"/>
    <d v="2023-09-17T00:00:00"/>
    <d v="2023-07-01T00:00:00"/>
    <x v="9"/>
    <d v="2023-09-01T00:00:00"/>
    <n v="2023"/>
  </r>
  <r>
    <x v="532"/>
    <x v="4"/>
    <x v="2"/>
    <s v="ART016"/>
    <d v="2023-01-05T00:00:00"/>
    <x v="0"/>
    <x v="2"/>
    <n v="4"/>
    <n v="21866"/>
    <n v="87464"/>
    <n v="31416"/>
    <n v="13365"/>
    <n v="42683"/>
    <n v="21"/>
    <x v="0"/>
    <s v="Thursday"/>
    <d v="2023-01-01T00:00:00"/>
    <d v="2023-01-01T00:00:00"/>
    <x v="8"/>
    <d v="2023-01-01T00:00:00"/>
    <n v="2023"/>
  </r>
  <r>
    <x v="533"/>
    <x v="0"/>
    <x v="0"/>
    <s v="ART037"/>
    <d v="2023-09-04T00:00:00"/>
    <x v="0"/>
    <x v="3"/>
    <n v="7"/>
    <n v="67205"/>
    <n v="470435"/>
    <n v="255864"/>
    <n v="72381"/>
    <n v="142190"/>
    <n v="41"/>
    <x v="0"/>
    <s v="Monday"/>
    <d v="2023-09-03T00:00:00"/>
    <d v="2023-07-01T00:00:00"/>
    <x v="9"/>
    <d v="2023-09-01T00:00:00"/>
    <n v="2023"/>
  </r>
  <r>
    <x v="534"/>
    <x v="1"/>
    <x v="0"/>
    <s v="ART022"/>
    <d v="2023-03-09T00:00:00"/>
    <x v="1"/>
    <x v="5"/>
    <n v="10"/>
    <n v="8833"/>
    <n v="88330"/>
    <n v="49051"/>
    <n v="14115"/>
    <n v="25164"/>
    <n v="1"/>
    <x v="4"/>
    <s v="Thursday"/>
    <d v="2023-03-05T00:00:00"/>
    <d v="2023-01-01T00:00:00"/>
    <x v="2"/>
    <d v="2023-03-01T00:00:00"/>
    <n v="2023"/>
  </r>
  <r>
    <x v="535"/>
    <x v="4"/>
    <x v="2"/>
    <s v="ART032"/>
    <d v="2023-08-30T00:00:00"/>
    <x v="1"/>
    <x v="3"/>
    <n v="1"/>
    <n v="49801"/>
    <n v="49801"/>
    <n v="18701"/>
    <n v="7135"/>
    <n v="23965"/>
    <n v="36"/>
    <x v="2"/>
    <s v="Wednesday"/>
    <d v="2023-08-27T00:00:00"/>
    <d v="2023-07-01T00:00:00"/>
    <x v="7"/>
    <d v="2023-08-01T00:00:00"/>
    <n v="2023"/>
  </r>
  <r>
    <x v="536"/>
    <x v="4"/>
    <x v="2"/>
    <s v="ART032"/>
    <d v="2023-05-08T00:00:00"/>
    <x v="1"/>
    <x v="1"/>
    <n v="9"/>
    <n v="53561"/>
    <n v="482049"/>
    <n v="250192"/>
    <n v="55069"/>
    <n v="176788"/>
    <n v="22"/>
    <x v="1"/>
    <s v="Monday"/>
    <d v="2023-05-07T00:00:00"/>
    <d v="2023-04-01T00:00:00"/>
    <x v="4"/>
    <d v="2023-05-01T00:00:00"/>
    <n v="2023"/>
  </r>
  <r>
    <x v="537"/>
    <x v="4"/>
    <x v="2"/>
    <s v="ART022"/>
    <d v="2023-07-19T00:00:00"/>
    <x v="0"/>
    <x v="0"/>
    <n v="4"/>
    <n v="46646"/>
    <n v="186584"/>
    <n v="97191"/>
    <n v="21736"/>
    <n v="67657"/>
    <n v="42"/>
    <x v="1"/>
    <s v="Wednesday"/>
    <d v="2023-07-16T00:00:00"/>
    <d v="2023-07-01T00:00:00"/>
    <x v="0"/>
    <d v="2023-07-01T00:00:00"/>
    <n v="2023"/>
  </r>
  <r>
    <x v="538"/>
    <x v="2"/>
    <x v="1"/>
    <s v="ART036"/>
    <d v="2023-09-12T00:00:00"/>
    <x v="2"/>
    <x v="1"/>
    <n v="4"/>
    <n v="36798"/>
    <n v="147192"/>
    <n v="81873"/>
    <n v="26303"/>
    <n v="39016"/>
    <n v="37"/>
    <x v="3"/>
    <s v="Tuesday"/>
    <d v="2023-09-10T00:00:00"/>
    <d v="2023-07-01T00:00:00"/>
    <x v="9"/>
    <d v="2023-09-01T00:00:00"/>
    <n v="2023"/>
  </r>
  <r>
    <x v="539"/>
    <x v="3"/>
    <x v="2"/>
    <s v="ART032"/>
    <d v="2023-11-11T00:00:00"/>
    <x v="3"/>
    <x v="1"/>
    <n v="3"/>
    <n v="52071"/>
    <n v="156213"/>
    <n v="56383"/>
    <n v="28760"/>
    <n v="71070"/>
    <n v="9"/>
    <x v="4"/>
    <s v="Saturday"/>
    <d v="2023-11-05T00:00:00"/>
    <d v="2023-10-01T00:00:00"/>
    <x v="10"/>
    <d v="2023-11-01T00:00:00"/>
    <n v="2023"/>
  </r>
  <r>
    <x v="540"/>
    <x v="2"/>
    <x v="1"/>
    <s v="ART015"/>
    <d v="2023-01-03T00:00:00"/>
    <x v="2"/>
    <x v="0"/>
    <n v="2"/>
    <n v="42257"/>
    <n v="84514"/>
    <n v="31805"/>
    <n v="16772"/>
    <n v="35937"/>
    <n v="23"/>
    <x v="0"/>
    <s v="Tuesday"/>
    <d v="2023-01-01T00:00:00"/>
    <d v="2023-01-01T00:00:00"/>
    <x v="8"/>
    <d v="2023-01-01T00:00:00"/>
    <n v="2023"/>
  </r>
  <r>
    <x v="541"/>
    <x v="4"/>
    <x v="2"/>
    <s v="ART041"/>
    <d v="2023-07-14T00:00:00"/>
    <x v="3"/>
    <x v="6"/>
    <n v="8"/>
    <n v="40285"/>
    <n v="322280"/>
    <n v="104066"/>
    <n v="47844"/>
    <n v="170370"/>
    <n v="0"/>
    <x v="1"/>
    <s v="Friday"/>
    <d v="2023-07-09T00:00:00"/>
    <d v="2023-07-01T00:00:00"/>
    <x v="0"/>
    <d v="2023-07-01T00:00:00"/>
    <n v="2023"/>
  </r>
  <r>
    <x v="542"/>
    <x v="3"/>
    <x v="2"/>
    <s v="ART043"/>
    <d v="2023-11-11T00:00:00"/>
    <x v="1"/>
    <x v="3"/>
    <n v="10"/>
    <n v="35145"/>
    <n v="351450"/>
    <n v="163641"/>
    <n v="41243"/>
    <n v="146566"/>
    <n v="21"/>
    <x v="3"/>
    <s v="Saturday"/>
    <d v="2023-11-05T00:00:00"/>
    <d v="2023-10-01T00:00:00"/>
    <x v="10"/>
    <d v="2023-11-01T00:00:00"/>
    <n v="2023"/>
  </r>
  <r>
    <x v="543"/>
    <x v="3"/>
    <x v="2"/>
    <s v="ART017"/>
    <d v="2023-03-01T00:00:00"/>
    <x v="2"/>
    <x v="2"/>
    <n v="6"/>
    <n v="39847"/>
    <n v="239082"/>
    <n v="132353"/>
    <n v="39284"/>
    <n v="67445"/>
    <n v="43"/>
    <x v="0"/>
    <s v="Wednesday"/>
    <d v="2023-02-26T00:00:00"/>
    <d v="2023-01-01T00:00:00"/>
    <x v="2"/>
    <d v="2023-03-01T00:00:00"/>
    <n v="2023"/>
  </r>
  <r>
    <x v="544"/>
    <x v="0"/>
    <x v="0"/>
    <s v="ART047"/>
    <d v="2023-04-25T00:00:00"/>
    <x v="3"/>
    <x v="5"/>
    <n v="5"/>
    <n v="42901"/>
    <n v="214505"/>
    <n v="126250"/>
    <n v="35193"/>
    <n v="53062"/>
    <n v="16"/>
    <x v="1"/>
    <s v="Tuesday"/>
    <d v="2023-04-23T00:00:00"/>
    <d v="2023-04-01T00:00:00"/>
    <x v="5"/>
    <d v="2023-04-01T00:00:00"/>
    <n v="2023"/>
  </r>
  <r>
    <x v="545"/>
    <x v="4"/>
    <x v="2"/>
    <s v="ART001"/>
    <d v="2023-08-29T00:00:00"/>
    <x v="3"/>
    <x v="4"/>
    <n v="9"/>
    <n v="8985"/>
    <n v="80865"/>
    <n v="38772"/>
    <n v="12575"/>
    <n v="29518"/>
    <n v="47"/>
    <x v="1"/>
    <s v="Tuesday"/>
    <d v="2023-08-27T00:00:00"/>
    <d v="2023-07-01T00:00:00"/>
    <x v="7"/>
    <d v="2023-08-01T00:00:00"/>
    <n v="2023"/>
  </r>
  <r>
    <x v="546"/>
    <x v="2"/>
    <x v="1"/>
    <s v="ART048"/>
    <d v="2023-01-09T00:00:00"/>
    <x v="0"/>
    <x v="4"/>
    <n v="8"/>
    <n v="11589"/>
    <n v="92712"/>
    <n v="45197"/>
    <n v="11270"/>
    <n v="36245"/>
    <n v="3"/>
    <x v="0"/>
    <s v="Monday"/>
    <d v="2023-01-08T00:00:00"/>
    <d v="2023-01-01T00:00:00"/>
    <x v="8"/>
    <d v="2023-01-01T00:00:00"/>
    <n v="2023"/>
  </r>
  <r>
    <x v="547"/>
    <x v="0"/>
    <x v="0"/>
    <s v="ART042"/>
    <d v="2023-09-23T00:00:00"/>
    <x v="1"/>
    <x v="1"/>
    <n v="5"/>
    <n v="5767"/>
    <n v="28835"/>
    <n v="9862"/>
    <n v="3528"/>
    <n v="15445"/>
    <n v="22"/>
    <x v="3"/>
    <s v="Saturday"/>
    <d v="2023-09-17T00:00:00"/>
    <d v="2023-07-01T00:00:00"/>
    <x v="9"/>
    <d v="2023-09-01T00:00:00"/>
    <n v="2023"/>
  </r>
  <r>
    <x v="548"/>
    <x v="2"/>
    <x v="1"/>
    <s v="ART047"/>
    <d v="2023-06-27T00:00:00"/>
    <x v="3"/>
    <x v="4"/>
    <n v="4"/>
    <n v="16575"/>
    <n v="66300"/>
    <n v="30419"/>
    <n v="11101"/>
    <n v="24780"/>
    <n v="28"/>
    <x v="4"/>
    <s v="Tuesday"/>
    <d v="2023-06-25T00:00:00"/>
    <d v="2023-04-01T00:00:00"/>
    <x v="1"/>
    <d v="2023-06-01T00:00:00"/>
    <n v="2023"/>
  </r>
  <r>
    <x v="549"/>
    <x v="0"/>
    <x v="0"/>
    <s v="ART017"/>
    <d v="2023-01-17T00:00:00"/>
    <x v="2"/>
    <x v="4"/>
    <n v="8"/>
    <n v="63088"/>
    <n v="504704"/>
    <n v="252264"/>
    <n v="96087"/>
    <n v="156353"/>
    <n v="46"/>
    <x v="3"/>
    <s v="Tuesday"/>
    <d v="2023-01-15T00:00:00"/>
    <d v="2023-01-01T00:00:00"/>
    <x v="8"/>
    <d v="2023-01-01T00:00:00"/>
    <n v="2023"/>
  </r>
  <r>
    <x v="550"/>
    <x v="4"/>
    <x v="2"/>
    <s v="ART050"/>
    <d v="2023-06-20T00:00:00"/>
    <x v="1"/>
    <x v="4"/>
    <n v="5"/>
    <n v="29730"/>
    <n v="148650"/>
    <n v="66543"/>
    <n v="20194"/>
    <n v="61913"/>
    <n v="43"/>
    <x v="1"/>
    <s v="Tuesday"/>
    <d v="2023-06-18T00:00:00"/>
    <d v="2023-04-01T00:00:00"/>
    <x v="1"/>
    <d v="2023-06-01T00:00:00"/>
    <n v="2023"/>
  </r>
  <r>
    <x v="551"/>
    <x v="3"/>
    <x v="2"/>
    <s v="ART047"/>
    <d v="2023-09-09T00:00:00"/>
    <x v="3"/>
    <x v="5"/>
    <n v="7"/>
    <n v="25169"/>
    <n v="176183"/>
    <n v="90291"/>
    <n v="28085"/>
    <n v="57807"/>
    <n v="15"/>
    <x v="0"/>
    <s v="Saturday"/>
    <d v="2023-09-03T00:00:00"/>
    <d v="2023-07-01T00:00:00"/>
    <x v="9"/>
    <d v="2023-09-01T00:00:00"/>
    <n v="2023"/>
  </r>
  <r>
    <x v="552"/>
    <x v="0"/>
    <x v="0"/>
    <s v="ART036"/>
    <d v="2023-05-03T00:00:00"/>
    <x v="1"/>
    <x v="0"/>
    <n v="10"/>
    <n v="14104"/>
    <n v="141040"/>
    <n v="59147"/>
    <n v="19475"/>
    <n v="62418"/>
    <n v="36"/>
    <x v="3"/>
    <s v="Wednesday"/>
    <d v="2023-04-30T00:00:00"/>
    <d v="2023-04-01T00:00:00"/>
    <x v="4"/>
    <d v="2023-05-01T00:00:00"/>
    <n v="2023"/>
  </r>
  <r>
    <x v="553"/>
    <x v="2"/>
    <x v="1"/>
    <s v="ART026"/>
    <d v="2023-09-14T00:00:00"/>
    <x v="2"/>
    <x v="0"/>
    <n v="7"/>
    <n v="3386"/>
    <n v="23702"/>
    <n v="7174"/>
    <n v="3860"/>
    <n v="12668"/>
    <n v="31"/>
    <x v="3"/>
    <s v="Thursday"/>
    <d v="2023-09-10T00:00:00"/>
    <d v="2023-07-01T00:00:00"/>
    <x v="9"/>
    <d v="2023-09-01T00:00:00"/>
    <n v="2023"/>
  </r>
  <r>
    <x v="554"/>
    <x v="4"/>
    <x v="2"/>
    <s v="ART031"/>
    <d v="2023-11-03T00:00:00"/>
    <x v="0"/>
    <x v="2"/>
    <n v="8"/>
    <n v="63238"/>
    <n v="505904"/>
    <n v="277123"/>
    <n v="69513"/>
    <n v="159268"/>
    <n v="34"/>
    <x v="3"/>
    <s v="Friday"/>
    <d v="2023-10-29T00:00:00"/>
    <d v="2023-10-01T00:00:00"/>
    <x v="10"/>
    <d v="2023-11-01T00:00:00"/>
    <n v="2023"/>
  </r>
  <r>
    <x v="555"/>
    <x v="4"/>
    <x v="2"/>
    <s v="ART002"/>
    <d v="2023-06-08T00:00:00"/>
    <x v="0"/>
    <x v="4"/>
    <n v="6"/>
    <n v="54738"/>
    <n v="328428"/>
    <n v="191688"/>
    <n v="33165"/>
    <n v="103575"/>
    <n v="14"/>
    <x v="4"/>
    <s v="Thursday"/>
    <d v="2023-06-04T00:00:00"/>
    <d v="2023-04-01T00:00:00"/>
    <x v="1"/>
    <d v="2023-06-01T00:00:00"/>
    <n v="2023"/>
  </r>
  <r>
    <x v="556"/>
    <x v="2"/>
    <x v="1"/>
    <s v="ART031"/>
    <d v="2023-09-25T00:00:00"/>
    <x v="3"/>
    <x v="6"/>
    <n v="6"/>
    <n v="40138"/>
    <n v="240828"/>
    <n v="92183"/>
    <n v="44318"/>
    <n v="104327"/>
    <n v="27"/>
    <x v="4"/>
    <s v="Monday"/>
    <d v="2023-09-24T00:00:00"/>
    <d v="2023-07-01T00:00:00"/>
    <x v="9"/>
    <d v="2023-09-01T00:00:00"/>
    <n v="2023"/>
  </r>
  <r>
    <x v="557"/>
    <x v="0"/>
    <x v="0"/>
    <s v="ART041"/>
    <d v="2023-09-20T00:00:00"/>
    <x v="2"/>
    <x v="0"/>
    <n v="3"/>
    <n v="11623"/>
    <n v="34869"/>
    <n v="19287"/>
    <n v="6491"/>
    <n v="9091"/>
    <n v="0"/>
    <x v="2"/>
    <s v="Wednesday"/>
    <d v="2023-09-17T00:00:00"/>
    <d v="2023-07-01T00:00:00"/>
    <x v="9"/>
    <d v="2023-09-01T00:00:00"/>
    <n v="2023"/>
  </r>
  <r>
    <x v="558"/>
    <x v="0"/>
    <x v="0"/>
    <s v="ART018"/>
    <d v="2023-05-18T00:00:00"/>
    <x v="0"/>
    <x v="3"/>
    <n v="7"/>
    <n v="68795"/>
    <n v="481565"/>
    <n v="234112"/>
    <n v="52156"/>
    <n v="195297"/>
    <n v="32"/>
    <x v="4"/>
    <s v="Thursday"/>
    <d v="2023-05-14T00:00:00"/>
    <d v="2023-04-01T00:00:00"/>
    <x v="4"/>
    <d v="2023-05-01T00:00:00"/>
    <n v="2023"/>
  </r>
  <r>
    <x v="559"/>
    <x v="3"/>
    <x v="2"/>
    <s v="ART024"/>
    <d v="2023-09-08T00:00:00"/>
    <x v="3"/>
    <x v="0"/>
    <n v="9"/>
    <n v="29676"/>
    <n v="267084"/>
    <n v="136695"/>
    <n v="27378"/>
    <n v="103011"/>
    <n v="26"/>
    <x v="0"/>
    <s v="Friday"/>
    <d v="2023-09-03T00:00:00"/>
    <d v="2023-07-01T00:00:00"/>
    <x v="9"/>
    <d v="2023-09-01T00:00:00"/>
    <n v="2023"/>
  </r>
  <r>
    <x v="560"/>
    <x v="1"/>
    <x v="0"/>
    <s v="ART010"/>
    <d v="2023-07-31T00:00:00"/>
    <x v="0"/>
    <x v="6"/>
    <n v="8"/>
    <n v="44222"/>
    <n v="353776"/>
    <n v="128889"/>
    <n v="55040"/>
    <n v="169847"/>
    <n v="12"/>
    <x v="1"/>
    <s v="Monday"/>
    <d v="2023-07-30T00:00:00"/>
    <d v="2023-07-01T00:00:00"/>
    <x v="0"/>
    <d v="2023-07-01T00:00:00"/>
    <n v="2023"/>
  </r>
  <r>
    <x v="561"/>
    <x v="4"/>
    <x v="2"/>
    <s v="ART013"/>
    <d v="2023-01-18T00:00:00"/>
    <x v="1"/>
    <x v="1"/>
    <n v="8"/>
    <n v="65778"/>
    <n v="526224"/>
    <n v="202586"/>
    <n v="62982"/>
    <n v="260656"/>
    <n v="23"/>
    <x v="3"/>
    <s v="Wednesday"/>
    <d v="2023-01-15T00:00:00"/>
    <d v="2023-01-01T00:00:00"/>
    <x v="8"/>
    <d v="2023-01-01T00:00:00"/>
    <n v="2023"/>
  </r>
  <r>
    <x v="562"/>
    <x v="3"/>
    <x v="2"/>
    <s v="ART011"/>
    <d v="2023-10-23T00:00:00"/>
    <x v="1"/>
    <x v="3"/>
    <n v="7"/>
    <n v="11950"/>
    <n v="83650"/>
    <n v="34102"/>
    <n v="12061"/>
    <n v="37487"/>
    <n v="16"/>
    <x v="4"/>
    <s v="Monday"/>
    <d v="2023-10-22T00:00:00"/>
    <d v="2023-10-01T00:00:00"/>
    <x v="3"/>
    <d v="2023-10-01T00:00:00"/>
    <n v="2023"/>
  </r>
  <r>
    <x v="563"/>
    <x v="4"/>
    <x v="2"/>
    <s v="ART030"/>
    <d v="2023-07-22T00:00:00"/>
    <x v="1"/>
    <x v="0"/>
    <n v="10"/>
    <n v="13416"/>
    <n v="134160"/>
    <n v="68610"/>
    <n v="21602"/>
    <n v="43948"/>
    <n v="8"/>
    <x v="1"/>
    <s v="Saturday"/>
    <d v="2023-07-16T00:00:00"/>
    <d v="2023-07-01T00:00:00"/>
    <x v="0"/>
    <d v="2023-07-01T00:00:00"/>
    <n v="2023"/>
  </r>
  <r>
    <x v="564"/>
    <x v="2"/>
    <x v="1"/>
    <s v="ART042"/>
    <d v="2023-08-17T00:00:00"/>
    <x v="1"/>
    <x v="2"/>
    <n v="5"/>
    <n v="15195"/>
    <n v="75975"/>
    <n v="26908"/>
    <n v="9459"/>
    <n v="39608"/>
    <n v="25"/>
    <x v="3"/>
    <s v="Thursday"/>
    <d v="2023-08-13T00:00:00"/>
    <d v="2023-07-01T00:00:00"/>
    <x v="7"/>
    <d v="2023-08-01T00:00:00"/>
    <n v="2023"/>
  </r>
  <r>
    <x v="565"/>
    <x v="2"/>
    <x v="1"/>
    <s v="ART009"/>
    <d v="2023-05-29T00:00:00"/>
    <x v="3"/>
    <x v="1"/>
    <n v="9"/>
    <n v="27369"/>
    <n v="246321"/>
    <n v="128609"/>
    <n v="44417"/>
    <n v="73295"/>
    <n v="23"/>
    <x v="4"/>
    <s v="Monday"/>
    <d v="2023-05-28T00:00:00"/>
    <d v="2023-04-01T00:00:00"/>
    <x v="4"/>
    <d v="2023-05-01T00:00:00"/>
    <n v="2023"/>
  </r>
  <r>
    <x v="566"/>
    <x v="1"/>
    <x v="0"/>
    <s v="ART010"/>
    <d v="2023-07-19T00:00:00"/>
    <x v="2"/>
    <x v="1"/>
    <n v="7"/>
    <n v="67066"/>
    <n v="469462"/>
    <n v="179459"/>
    <n v="50564"/>
    <n v="239439"/>
    <n v="48"/>
    <x v="2"/>
    <s v="Wednesday"/>
    <d v="2023-07-16T00:00:00"/>
    <d v="2023-07-01T00:00:00"/>
    <x v="0"/>
    <d v="2023-07-01T00:00:00"/>
    <n v="2023"/>
  </r>
  <r>
    <x v="567"/>
    <x v="3"/>
    <x v="2"/>
    <s v="ART012"/>
    <d v="2023-03-05T00:00:00"/>
    <x v="3"/>
    <x v="3"/>
    <n v="4"/>
    <n v="45087"/>
    <n v="180348"/>
    <n v="92427"/>
    <n v="26451"/>
    <n v="61470"/>
    <n v="11"/>
    <x v="1"/>
    <s v="Sunday"/>
    <d v="2023-03-05T00:00:00"/>
    <d v="2023-01-01T00:00:00"/>
    <x v="2"/>
    <d v="2023-03-01T00:00:00"/>
    <n v="2023"/>
  </r>
  <r>
    <x v="568"/>
    <x v="1"/>
    <x v="0"/>
    <s v="ART031"/>
    <d v="2023-07-26T00:00:00"/>
    <x v="1"/>
    <x v="4"/>
    <n v="10"/>
    <n v="47392"/>
    <n v="473920"/>
    <n v="189931"/>
    <n v="83693"/>
    <n v="200296"/>
    <n v="9"/>
    <x v="4"/>
    <s v="Wednesday"/>
    <d v="2023-07-23T00:00:00"/>
    <d v="2023-07-01T00:00:00"/>
    <x v="0"/>
    <d v="2023-07-01T00:00:00"/>
    <n v="2023"/>
  </r>
  <r>
    <x v="569"/>
    <x v="4"/>
    <x v="2"/>
    <s v="ART031"/>
    <d v="2023-08-03T00:00:00"/>
    <x v="1"/>
    <x v="3"/>
    <n v="10"/>
    <n v="35208"/>
    <n v="352080"/>
    <n v="149954"/>
    <n v="54950"/>
    <n v="147176"/>
    <n v="5"/>
    <x v="2"/>
    <s v="Thursday"/>
    <d v="2023-07-30T00:00:00"/>
    <d v="2023-07-01T00:00:00"/>
    <x v="7"/>
    <d v="2023-08-01T00:00:00"/>
    <n v="2023"/>
  </r>
  <r>
    <x v="570"/>
    <x v="0"/>
    <x v="0"/>
    <s v="ART004"/>
    <d v="2023-03-28T00:00:00"/>
    <x v="0"/>
    <x v="4"/>
    <n v="7"/>
    <n v="55971"/>
    <n v="391797"/>
    <n v="223323"/>
    <n v="68232"/>
    <n v="100242"/>
    <n v="16"/>
    <x v="4"/>
    <s v="Tuesday"/>
    <d v="2023-03-26T00:00:00"/>
    <d v="2023-01-01T00:00:00"/>
    <x v="2"/>
    <d v="2023-03-01T00:00:00"/>
    <n v="2023"/>
  </r>
  <r>
    <x v="571"/>
    <x v="0"/>
    <x v="0"/>
    <s v="ART030"/>
    <d v="2023-03-26T00:00:00"/>
    <x v="2"/>
    <x v="4"/>
    <n v="4"/>
    <n v="15618"/>
    <n v="62472"/>
    <n v="35928"/>
    <n v="8403"/>
    <n v="18141"/>
    <n v="24"/>
    <x v="1"/>
    <s v="Sunday"/>
    <d v="2023-03-26T00:00:00"/>
    <d v="2023-01-01T00:00:00"/>
    <x v="2"/>
    <d v="2023-03-01T00:00:00"/>
    <n v="2023"/>
  </r>
  <r>
    <x v="572"/>
    <x v="3"/>
    <x v="2"/>
    <s v="ART002"/>
    <d v="2023-11-04T00:00:00"/>
    <x v="1"/>
    <x v="2"/>
    <n v="1"/>
    <n v="58642"/>
    <n v="58642"/>
    <n v="29905"/>
    <n v="10011"/>
    <n v="18726"/>
    <n v="38"/>
    <x v="4"/>
    <s v="Saturday"/>
    <d v="2023-10-29T00:00:00"/>
    <d v="2023-10-01T00:00:00"/>
    <x v="10"/>
    <d v="2023-11-01T00:00:00"/>
    <n v="2023"/>
  </r>
  <r>
    <x v="573"/>
    <x v="1"/>
    <x v="0"/>
    <s v="ART040"/>
    <d v="2023-03-14T00:00:00"/>
    <x v="0"/>
    <x v="4"/>
    <n v="8"/>
    <n v="32234"/>
    <n v="257872"/>
    <n v="78436"/>
    <n v="49820"/>
    <n v="129616"/>
    <n v="47"/>
    <x v="0"/>
    <s v="Tuesday"/>
    <d v="2023-03-12T00:00:00"/>
    <d v="2023-01-01T00:00:00"/>
    <x v="2"/>
    <d v="2023-03-01T00:00:00"/>
    <n v="2023"/>
  </r>
  <r>
    <x v="574"/>
    <x v="0"/>
    <x v="0"/>
    <s v="ART007"/>
    <d v="2023-08-27T00:00:00"/>
    <x v="2"/>
    <x v="0"/>
    <n v="5"/>
    <n v="30131"/>
    <n v="150655"/>
    <n v="66721"/>
    <n v="21331"/>
    <n v="62603"/>
    <n v="12"/>
    <x v="0"/>
    <s v="Sunday"/>
    <d v="2023-08-27T00:00:00"/>
    <d v="2023-07-01T00:00:00"/>
    <x v="7"/>
    <d v="2023-08-01T00:00:00"/>
    <n v="2023"/>
  </r>
  <r>
    <x v="575"/>
    <x v="4"/>
    <x v="2"/>
    <s v="ART037"/>
    <d v="2023-06-05T00:00:00"/>
    <x v="0"/>
    <x v="1"/>
    <n v="6"/>
    <n v="36988"/>
    <n v="221928"/>
    <n v="81175"/>
    <n v="25045"/>
    <n v="115708"/>
    <n v="37"/>
    <x v="1"/>
    <s v="Monday"/>
    <d v="2023-06-04T00:00:00"/>
    <d v="2023-04-01T00:00:00"/>
    <x v="1"/>
    <d v="2023-06-01T00:00:00"/>
    <n v="2023"/>
  </r>
  <r>
    <x v="576"/>
    <x v="2"/>
    <x v="1"/>
    <s v="ART032"/>
    <d v="2023-01-29T00:00:00"/>
    <x v="1"/>
    <x v="1"/>
    <n v="6"/>
    <n v="14832"/>
    <n v="88992"/>
    <n v="29466"/>
    <n v="13842"/>
    <n v="45684"/>
    <n v="7"/>
    <x v="0"/>
    <s v="Sunday"/>
    <d v="2023-01-29T00:00:00"/>
    <d v="2023-01-01T00:00:00"/>
    <x v="8"/>
    <d v="2023-01-01T00:00:00"/>
    <n v="2023"/>
  </r>
  <r>
    <x v="577"/>
    <x v="2"/>
    <x v="1"/>
    <s v="ART012"/>
    <d v="2023-08-12T00:00:00"/>
    <x v="3"/>
    <x v="1"/>
    <n v="10"/>
    <n v="9639"/>
    <n v="96390"/>
    <n v="44885"/>
    <n v="9948"/>
    <n v="41557"/>
    <n v="21"/>
    <x v="0"/>
    <s v="Saturday"/>
    <d v="2023-08-06T00:00:00"/>
    <d v="2023-07-01T00:00:00"/>
    <x v="7"/>
    <d v="2023-08-01T00:00:00"/>
    <n v="2023"/>
  </r>
  <r>
    <x v="578"/>
    <x v="4"/>
    <x v="2"/>
    <s v="ART028"/>
    <d v="2023-10-23T00:00:00"/>
    <x v="2"/>
    <x v="1"/>
    <n v="4"/>
    <n v="2068"/>
    <n v="8272"/>
    <n v="2997"/>
    <n v="1210"/>
    <n v="4065"/>
    <n v="22"/>
    <x v="0"/>
    <s v="Monday"/>
    <d v="2023-10-22T00:00:00"/>
    <d v="2023-10-01T00:00:00"/>
    <x v="3"/>
    <d v="2023-10-01T00:00:00"/>
    <n v="2023"/>
  </r>
  <r>
    <x v="579"/>
    <x v="0"/>
    <x v="0"/>
    <s v="ART038"/>
    <d v="2023-11-08T00:00:00"/>
    <x v="1"/>
    <x v="0"/>
    <n v="3"/>
    <n v="43244"/>
    <n v="129732"/>
    <n v="71441"/>
    <n v="13246"/>
    <n v="45045"/>
    <n v="31"/>
    <x v="2"/>
    <s v="Wednesday"/>
    <d v="2023-11-05T00:00:00"/>
    <d v="2023-10-01T00:00:00"/>
    <x v="10"/>
    <d v="2023-11-01T00:00:00"/>
    <n v="2023"/>
  </r>
  <r>
    <x v="580"/>
    <x v="4"/>
    <x v="2"/>
    <s v="ART041"/>
    <d v="2023-11-17T00:00:00"/>
    <x v="1"/>
    <x v="4"/>
    <n v="2"/>
    <n v="45753"/>
    <n v="91506"/>
    <n v="51112"/>
    <n v="17413"/>
    <n v="22981"/>
    <n v="26"/>
    <x v="3"/>
    <s v="Friday"/>
    <d v="2023-11-12T00:00:00"/>
    <d v="2023-10-01T00:00:00"/>
    <x v="10"/>
    <d v="2023-11-01T00:00:00"/>
    <n v="2023"/>
  </r>
  <r>
    <x v="581"/>
    <x v="3"/>
    <x v="2"/>
    <s v="ART016"/>
    <d v="2023-02-16T00:00:00"/>
    <x v="2"/>
    <x v="1"/>
    <n v="1"/>
    <n v="5112"/>
    <n v="5112"/>
    <n v="1676"/>
    <n v="744"/>
    <n v="2692"/>
    <n v="19"/>
    <x v="2"/>
    <s v="Thursday"/>
    <d v="2023-02-12T00:00:00"/>
    <d v="2023-01-01T00:00:00"/>
    <x v="6"/>
    <d v="2023-02-01T00:00:00"/>
    <n v="2023"/>
  </r>
  <r>
    <x v="582"/>
    <x v="3"/>
    <x v="2"/>
    <s v="ART007"/>
    <d v="2023-03-12T00:00:00"/>
    <x v="1"/>
    <x v="1"/>
    <n v="9"/>
    <n v="10464"/>
    <n v="94176"/>
    <n v="37012"/>
    <n v="14024"/>
    <n v="43140"/>
    <n v="26"/>
    <x v="3"/>
    <s v="Sunday"/>
    <d v="2023-03-12T00:00:00"/>
    <d v="2023-01-01T00:00:00"/>
    <x v="2"/>
    <d v="2023-03-01T00:00:00"/>
    <n v="2023"/>
  </r>
  <r>
    <x v="583"/>
    <x v="0"/>
    <x v="0"/>
    <s v="ART037"/>
    <d v="2023-05-12T00:00:00"/>
    <x v="0"/>
    <x v="2"/>
    <n v="7"/>
    <n v="59122"/>
    <n v="413854"/>
    <n v="191899"/>
    <n v="68016"/>
    <n v="153939"/>
    <n v="4"/>
    <x v="3"/>
    <s v="Friday"/>
    <d v="2023-05-07T00:00:00"/>
    <d v="2023-04-01T00:00:00"/>
    <x v="4"/>
    <d v="2023-05-01T00:00:00"/>
    <n v="2023"/>
  </r>
  <r>
    <x v="584"/>
    <x v="4"/>
    <x v="2"/>
    <s v="ART002"/>
    <d v="2023-02-27T00:00:00"/>
    <x v="3"/>
    <x v="3"/>
    <n v="3"/>
    <n v="30222"/>
    <n v="90666"/>
    <n v="34561"/>
    <n v="14675"/>
    <n v="41430"/>
    <n v="49"/>
    <x v="0"/>
    <s v="Monday"/>
    <d v="2023-02-26T00:00:00"/>
    <d v="2023-01-01T00:00:00"/>
    <x v="6"/>
    <d v="2023-02-01T00:00:00"/>
    <n v="2023"/>
  </r>
  <r>
    <x v="585"/>
    <x v="0"/>
    <x v="0"/>
    <s v="ART043"/>
    <d v="2023-07-09T00:00:00"/>
    <x v="1"/>
    <x v="5"/>
    <n v="4"/>
    <n v="30039"/>
    <n v="120156"/>
    <n v="48314"/>
    <n v="21926"/>
    <n v="49916"/>
    <n v="40"/>
    <x v="1"/>
    <s v="Sunday"/>
    <d v="2023-07-09T00:00:00"/>
    <d v="2023-07-01T00:00:00"/>
    <x v="0"/>
    <d v="2023-07-01T00:00:00"/>
    <n v="2023"/>
  </r>
  <r>
    <x v="586"/>
    <x v="0"/>
    <x v="0"/>
    <s v="ART022"/>
    <d v="2023-07-24T00:00:00"/>
    <x v="3"/>
    <x v="5"/>
    <n v="7"/>
    <n v="17683"/>
    <n v="123781"/>
    <n v="52241"/>
    <n v="22641"/>
    <n v="48899"/>
    <n v="43"/>
    <x v="3"/>
    <s v="Monday"/>
    <d v="2023-07-23T00:00:00"/>
    <d v="2023-07-01T00:00:00"/>
    <x v="0"/>
    <d v="2023-07-01T00:00:00"/>
    <n v="2023"/>
  </r>
  <r>
    <x v="587"/>
    <x v="1"/>
    <x v="0"/>
    <s v="ART011"/>
    <d v="2023-06-10T00:00:00"/>
    <x v="1"/>
    <x v="5"/>
    <n v="1"/>
    <n v="26640"/>
    <n v="26640"/>
    <n v="15126"/>
    <n v="3154"/>
    <n v="8360"/>
    <n v="29"/>
    <x v="0"/>
    <s v="Saturday"/>
    <d v="2023-06-04T00:00:00"/>
    <d v="2023-04-01T00:00:00"/>
    <x v="1"/>
    <d v="2023-06-01T00:00:00"/>
    <n v="2023"/>
  </r>
  <r>
    <x v="588"/>
    <x v="4"/>
    <x v="2"/>
    <s v="ART014"/>
    <d v="2023-05-10T00:00:00"/>
    <x v="3"/>
    <x v="6"/>
    <n v="10"/>
    <n v="61603"/>
    <n v="616030"/>
    <n v="332492"/>
    <n v="101322"/>
    <n v="182216"/>
    <n v="11"/>
    <x v="0"/>
    <s v="Wednesday"/>
    <d v="2023-05-07T00:00:00"/>
    <d v="2023-04-01T00:00:00"/>
    <x v="4"/>
    <d v="2023-05-01T00:00:00"/>
    <n v="2023"/>
  </r>
  <r>
    <x v="589"/>
    <x v="2"/>
    <x v="1"/>
    <s v="ART030"/>
    <d v="2023-01-12T00:00:00"/>
    <x v="1"/>
    <x v="2"/>
    <n v="6"/>
    <n v="68558"/>
    <n v="411348"/>
    <n v="214590"/>
    <n v="50822"/>
    <n v="145936"/>
    <n v="16"/>
    <x v="3"/>
    <s v="Thursday"/>
    <d v="2023-01-08T00:00:00"/>
    <d v="2023-01-01T00:00:00"/>
    <x v="8"/>
    <d v="2023-01-01T00:00:00"/>
    <n v="2023"/>
  </r>
  <r>
    <x v="590"/>
    <x v="0"/>
    <x v="0"/>
    <s v="ART020"/>
    <d v="2023-04-23T00:00:00"/>
    <x v="3"/>
    <x v="0"/>
    <n v="10"/>
    <n v="5418"/>
    <n v="54180"/>
    <n v="28894"/>
    <n v="6697"/>
    <n v="18589"/>
    <n v="41"/>
    <x v="0"/>
    <s v="Sunday"/>
    <d v="2023-04-23T00:00:00"/>
    <d v="2023-04-01T00:00:00"/>
    <x v="5"/>
    <d v="2023-04-01T00:00:00"/>
    <n v="2023"/>
  </r>
  <r>
    <x v="591"/>
    <x v="3"/>
    <x v="2"/>
    <s v="ART025"/>
    <d v="2023-08-08T00:00:00"/>
    <x v="1"/>
    <x v="1"/>
    <n v="8"/>
    <n v="8859"/>
    <n v="70872"/>
    <n v="30144"/>
    <n v="9029"/>
    <n v="31699"/>
    <n v="23"/>
    <x v="0"/>
    <s v="Tuesday"/>
    <d v="2023-08-06T00:00:00"/>
    <d v="2023-07-01T00:00:00"/>
    <x v="7"/>
    <d v="2023-08-01T00:00:00"/>
    <n v="2023"/>
  </r>
  <r>
    <x v="592"/>
    <x v="1"/>
    <x v="0"/>
    <s v="ART027"/>
    <d v="2023-06-28T00:00:00"/>
    <x v="2"/>
    <x v="3"/>
    <n v="4"/>
    <n v="36158"/>
    <n v="144632"/>
    <n v="49456"/>
    <n v="23689"/>
    <n v="71487"/>
    <n v="9"/>
    <x v="4"/>
    <s v="Wednesday"/>
    <d v="2023-06-25T00:00:00"/>
    <d v="2023-04-01T00:00:00"/>
    <x v="1"/>
    <d v="2023-06-01T00:00:00"/>
    <n v="2023"/>
  </r>
  <r>
    <x v="593"/>
    <x v="3"/>
    <x v="2"/>
    <s v="ART045"/>
    <d v="2023-07-03T00:00:00"/>
    <x v="3"/>
    <x v="4"/>
    <n v="8"/>
    <n v="33967"/>
    <n v="271736"/>
    <n v="92982"/>
    <n v="37564"/>
    <n v="141190"/>
    <n v="9"/>
    <x v="1"/>
    <s v="Monday"/>
    <d v="2023-07-02T00:00:00"/>
    <d v="2023-07-01T00:00:00"/>
    <x v="0"/>
    <d v="2023-07-01T00:00:00"/>
    <n v="2023"/>
  </r>
  <r>
    <x v="594"/>
    <x v="1"/>
    <x v="0"/>
    <s v="ART043"/>
    <d v="2023-04-14T00:00:00"/>
    <x v="0"/>
    <x v="0"/>
    <n v="8"/>
    <n v="15371"/>
    <n v="122968"/>
    <n v="58755"/>
    <n v="23922"/>
    <n v="40291"/>
    <n v="38"/>
    <x v="1"/>
    <s v="Friday"/>
    <d v="2023-04-09T00:00:00"/>
    <d v="2023-04-01T00:00:00"/>
    <x v="5"/>
    <d v="2023-04-01T00:00:00"/>
    <n v="2023"/>
  </r>
  <r>
    <x v="595"/>
    <x v="1"/>
    <x v="0"/>
    <s v="ART015"/>
    <d v="2023-01-20T00:00:00"/>
    <x v="2"/>
    <x v="1"/>
    <n v="9"/>
    <n v="23343"/>
    <n v="210087"/>
    <n v="85743"/>
    <n v="34837"/>
    <n v="89507"/>
    <n v="20"/>
    <x v="3"/>
    <s v="Friday"/>
    <d v="2023-01-15T00:00:00"/>
    <d v="2023-01-01T00:00:00"/>
    <x v="8"/>
    <d v="2023-01-01T00:00:00"/>
    <n v="2023"/>
  </r>
  <r>
    <x v="596"/>
    <x v="1"/>
    <x v="0"/>
    <s v="ART045"/>
    <d v="2023-11-21T00:00:00"/>
    <x v="2"/>
    <x v="1"/>
    <n v="4"/>
    <n v="25405"/>
    <n v="101620"/>
    <n v="53732"/>
    <n v="15355"/>
    <n v="32533"/>
    <n v="10"/>
    <x v="2"/>
    <s v="Tuesday"/>
    <d v="2023-11-19T00:00:00"/>
    <d v="2023-10-01T00:00:00"/>
    <x v="10"/>
    <d v="2023-11-01T00:00:00"/>
    <n v="2023"/>
  </r>
  <r>
    <x v="597"/>
    <x v="0"/>
    <x v="0"/>
    <s v="ART028"/>
    <d v="2023-04-02T00:00:00"/>
    <x v="1"/>
    <x v="4"/>
    <n v="5"/>
    <n v="49372"/>
    <n v="246860"/>
    <n v="141490"/>
    <n v="28564"/>
    <n v="76806"/>
    <n v="32"/>
    <x v="3"/>
    <s v="Sunday"/>
    <d v="2023-04-02T00:00:00"/>
    <d v="2023-04-01T00:00:00"/>
    <x v="5"/>
    <d v="2023-04-01T00:00:00"/>
    <n v="2023"/>
  </r>
  <r>
    <x v="598"/>
    <x v="2"/>
    <x v="1"/>
    <s v="ART039"/>
    <d v="2023-11-14T00:00:00"/>
    <x v="0"/>
    <x v="2"/>
    <n v="2"/>
    <n v="3305"/>
    <n v="6610"/>
    <n v="1998"/>
    <n v="1112"/>
    <n v="3500"/>
    <n v="3"/>
    <x v="1"/>
    <s v="Tuesday"/>
    <d v="2023-11-12T00:00:00"/>
    <d v="2023-10-01T00:00:00"/>
    <x v="10"/>
    <d v="2023-11-01T00:00:00"/>
    <n v="2023"/>
  </r>
  <r>
    <x v="599"/>
    <x v="0"/>
    <x v="0"/>
    <s v="ART031"/>
    <d v="2023-02-06T00:00:00"/>
    <x v="2"/>
    <x v="5"/>
    <n v="8"/>
    <n v="39884"/>
    <n v="319072"/>
    <n v="155652"/>
    <n v="43420"/>
    <n v="120000"/>
    <n v="42"/>
    <x v="4"/>
    <s v="Monday"/>
    <d v="2023-02-05T00:00:00"/>
    <d v="2023-01-01T00:00:00"/>
    <x v="6"/>
    <d v="2023-02-01T00:00:00"/>
    <n v="2023"/>
  </r>
  <r>
    <x v="600"/>
    <x v="3"/>
    <x v="2"/>
    <s v="ART002"/>
    <d v="2023-08-25T00:00:00"/>
    <x v="1"/>
    <x v="5"/>
    <n v="6"/>
    <n v="63115"/>
    <n v="378690"/>
    <n v="214896"/>
    <n v="59678"/>
    <n v="104116"/>
    <n v="31"/>
    <x v="0"/>
    <s v="Friday"/>
    <d v="2023-08-20T00:00:00"/>
    <d v="2023-07-01T00:00:00"/>
    <x v="7"/>
    <d v="2023-08-01T00:00:00"/>
    <n v="2023"/>
  </r>
  <r>
    <x v="601"/>
    <x v="2"/>
    <x v="1"/>
    <s v="ART014"/>
    <d v="2023-08-04T00:00:00"/>
    <x v="0"/>
    <x v="0"/>
    <n v="3"/>
    <n v="47191"/>
    <n v="141573"/>
    <n v="51353"/>
    <n v="22351"/>
    <n v="67869"/>
    <n v="17"/>
    <x v="4"/>
    <s v="Friday"/>
    <d v="2023-07-30T00:00:00"/>
    <d v="2023-07-01T00:00:00"/>
    <x v="7"/>
    <d v="2023-08-01T00:00:00"/>
    <n v="2023"/>
  </r>
  <r>
    <x v="602"/>
    <x v="4"/>
    <x v="2"/>
    <s v="ART030"/>
    <d v="2023-10-12T00:00:00"/>
    <x v="3"/>
    <x v="3"/>
    <n v="2"/>
    <n v="51990"/>
    <n v="103980"/>
    <n v="33287"/>
    <n v="20376"/>
    <n v="50317"/>
    <n v="23"/>
    <x v="0"/>
    <s v="Thursday"/>
    <d v="2023-10-08T00:00:00"/>
    <d v="2023-10-01T00:00:00"/>
    <x v="3"/>
    <d v="2023-10-01T00:00:00"/>
    <n v="2023"/>
  </r>
  <r>
    <x v="603"/>
    <x v="2"/>
    <x v="1"/>
    <s v="ART035"/>
    <d v="2023-08-29T00:00:00"/>
    <x v="3"/>
    <x v="6"/>
    <n v="8"/>
    <n v="24150"/>
    <n v="193200"/>
    <n v="108473"/>
    <n v="30600"/>
    <n v="54127"/>
    <n v="2"/>
    <x v="1"/>
    <s v="Tuesday"/>
    <d v="2023-08-27T00:00:00"/>
    <d v="2023-07-01T00:00:00"/>
    <x v="7"/>
    <d v="2023-08-01T00:00:00"/>
    <n v="2023"/>
  </r>
  <r>
    <x v="604"/>
    <x v="3"/>
    <x v="2"/>
    <s v="ART028"/>
    <d v="2023-03-13T00:00:00"/>
    <x v="2"/>
    <x v="2"/>
    <n v="3"/>
    <n v="62935"/>
    <n v="188805"/>
    <n v="82958"/>
    <n v="31652"/>
    <n v="74195"/>
    <n v="6"/>
    <x v="1"/>
    <s v="Monday"/>
    <d v="2023-03-12T00:00:00"/>
    <d v="2023-01-01T00:00:00"/>
    <x v="2"/>
    <d v="2023-03-01T00:00:00"/>
    <n v="2023"/>
  </r>
  <r>
    <x v="605"/>
    <x v="1"/>
    <x v="0"/>
    <s v="ART007"/>
    <d v="2023-06-25T00:00:00"/>
    <x v="2"/>
    <x v="1"/>
    <n v="10"/>
    <n v="30190"/>
    <n v="301900"/>
    <n v="101738"/>
    <n v="40923"/>
    <n v="159239"/>
    <n v="24"/>
    <x v="1"/>
    <s v="Sunday"/>
    <d v="2023-06-25T00:00:00"/>
    <d v="2023-04-01T00:00:00"/>
    <x v="1"/>
    <d v="2023-06-01T00:00:00"/>
    <n v="2023"/>
  </r>
  <r>
    <x v="606"/>
    <x v="0"/>
    <x v="0"/>
    <s v="ART029"/>
    <d v="2023-03-17T00:00:00"/>
    <x v="1"/>
    <x v="0"/>
    <n v="6"/>
    <n v="61278"/>
    <n v="367668"/>
    <n v="208326"/>
    <n v="56515"/>
    <n v="102827"/>
    <n v="28"/>
    <x v="2"/>
    <s v="Friday"/>
    <d v="2023-03-12T00:00:00"/>
    <d v="2023-01-01T00:00:00"/>
    <x v="2"/>
    <d v="2023-03-01T00:00:00"/>
    <n v="2023"/>
  </r>
  <r>
    <x v="607"/>
    <x v="1"/>
    <x v="0"/>
    <s v="ART037"/>
    <d v="2023-05-11T00:00:00"/>
    <x v="1"/>
    <x v="6"/>
    <n v="2"/>
    <n v="49539"/>
    <n v="99078"/>
    <n v="33345"/>
    <n v="12199"/>
    <n v="53534"/>
    <n v="30"/>
    <x v="2"/>
    <s v="Thursday"/>
    <d v="2023-05-07T00:00:00"/>
    <d v="2023-04-01T00:00:00"/>
    <x v="4"/>
    <d v="2023-05-01T00:00:00"/>
    <n v="2023"/>
  </r>
  <r>
    <x v="608"/>
    <x v="1"/>
    <x v="0"/>
    <s v="ART030"/>
    <d v="2023-01-12T00:00:00"/>
    <x v="2"/>
    <x v="1"/>
    <n v="4"/>
    <n v="48445"/>
    <n v="193780"/>
    <n v="111014"/>
    <n v="29875"/>
    <n v="52891"/>
    <n v="24"/>
    <x v="4"/>
    <s v="Thursday"/>
    <d v="2023-01-08T00:00:00"/>
    <d v="2023-01-01T00:00:00"/>
    <x v="8"/>
    <d v="2023-01-01T00:00:00"/>
    <n v="2023"/>
  </r>
  <r>
    <x v="609"/>
    <x v="1"/>
    <x v="0"/>
    <s v="ART003"/>
    <d v="2023-11-04T00:00:00"/>
    <x v="3"/>
    <x v="5"/>
    <n v="2"/>
    <n v="12305"/>
    <n v="24610"/>
    <n v="9157"/>
    <n v="4025"/>
    <n v="11428"/>
    <n v="20"/>
    <x v="0"/>
    <s v="Saturday"/>
    <d v="2023-10-29T00:00:00"/>
    <d v="2023-10-01T00:00:00"/>
    <x v="10"/>
    <d v="2023-11-01T00:00:00"/>
    <n v="2023"/>
  </r>
  <r>
    <x v="610"/>
    <x v="1"/>
    <x v="0"/>
    <s v="ART047"/>
    <d v="2023-02-04T00:00:00"/>
    <x v="0"/>
    <x v="2"/>
    <n v="7"/>
    <n v="42135"/>
    <n v="294945"/>
    <n v="159135"/>
    <n v="31246"/>
    <n v="104564"/>
    <n v="31"/>
    <x v="0"/>
    <s v="Saturday"/>
    <d v="2023-01-29T00:00:00"/>
    <d v="2023-01-01T00:00:00"/>
    <x v="6"/>
    <d v="2023-02-01T00:00:00"/>
    <n v="2023"/>
  </r>
  <r>
    <x v="611"/>
    <x v="1"/>
    <x v="0"/>
    <s v="ART016"/>
    <d v="2023-02-11T00:00:00"/>
    <x v="1"/>
    <x v="6"/>
    <n v="1"/>
    <n v="13733"/>
    <n v="13733"/>
    <n v="6034"/>
    <n v="2594"/>
    <n v="5105"/>
    <n v="7"/>
    <x v="0"/>
    <s v="Saturday"/>
    <d v="2023-02-05T00:00:00"/>
    <d v="2023-01-01T00:00:00"/>
    <x v="6"/>
    <d v="2023-02-01T00:00:00"/>
    <n v="2023"/>
  </r>
  <r>
    <x v="612"/>
    <x v="1"/>
    <x v="0"/>
    <s v="ART040"/>
    <d v="2023-03-25T00:00:00"/>
    <x v="0"/>
    <x v="0"/>
    <n v="4"/>
    <n v="66578"/>
    <n v="266312"/>
    <n v="95778"/>
    <n v="31735"/>
    <n v="138799"/>
    <n v="3"/>
    <x v="4"/>
    <s v="Saturday"/>
    <d v="2023-03-19T00:00:00"/>
    <d v="2023-01-01T00:00:00"/>
    <x v="2"/>
    <d v="2023-03-01T00:00:00"/>
    <n v="2023"/>
  </r>
  <r>
    <x v="613"/>
    <x v="2"/>
    <x v="1"/>
    <s v="ART027"/>
    <d v="2023-08-14T00:00:00"/>
    <x v="3"/>
    <x v="3"/>
    <n v="7"/>
    <n v="12304"/>
    <n v="86128"/>
    <n v="28505"/>
    <n v="13170"/>
    <n v="44453"/>
    <n v="12"/>
    <x v="0"/>
    <s v="Monday"/>
    <d v="2023-08-13T00:00:00"/>
    <d v="2023-07-01T00:00:00"/>
    <x v="7"/>
    <d v="2023-08-01T00:00:00"/>
    <n v="2023"/>
  </r>
  <r>
    <x v="614"/>
    <x v="3"/>
    <x v="2"/>
    <s v="ART001"/>
    <d v="2023-01-05T00:00:00"/>
    <x v="3"/>
    <x v="3"/>
    <n v="4"/>
    <n v="63617"/>
    <n v="254468"/>
    <n v="115661"/>
    <n v="46224"/>
    <n v="92583"/>
    <n v="7"/>
    <x v="1"/>
    <s v="Thursday"/>
    <d v="2023-01-01T00:00:00"/>
    <d v="2023-01-01T00:00:00"/>
    <x v="8"/>
    <d v="2023-01-01T00:00:00"/>
    <n v="2023"/>
  </r>
  <r>
    <x v="615"/>
    <x v="2"/>
    <x v="1"/>
    <s v="ART004"/>
    <d v="2023-07-12T00:00:00"/>
    <x v="0"/>
    <x v="5"/>
    <n v="2"/>
    <n v="54133"/>
    <n v="108266"/>
    <n v="44898"/>
    <n v="12233"/>
    <n v="51135"/>
    <n v="41"/>
    <x v="3"/>
    <s v="Wednesday"/>
    <d v="2023-07-09T00:00:00"/>
    <d v="2023-07-01T00:00:00"/>
    <x v="0"/>
    <d v="2023-07-01T00:00:00"/>
    <n v="2023"/>
  </r>
  <r>
    <x v="616"/>
    <x v="1"/>
    <x v="0"/>
    <s v="ART048"/>
    <d v="2023-02-25T00:00:00"/>
    <x v="1"/>
    <x v="4"/>
    <n v="8"/>
    <n v="52450"/>
    <n v="419600"/>
    <n v="207286"/>
    <n v="72630"/>
    <n v="139684"/>
    <n v="26"/>
    <x v="2"/>
    <s v="Saturday"/>
    <d v="2023-02-19T00:00:00"/>
    <d v="2023-01-01T00:00:00"/>
    <x v="6"/>
    <d v="2023-02-01T00:00:00"/>
    <n v="2023"/>
  </r>
  <r>
    <x v="617"/>
    <x v="0"/>
    <x v="0"/>
    <s v="ART014"/>
    <d v="2023-07-23T00:00:00"/>
    <x v="0"/>
    <x v="3"/>
    <n v="2"/>
    <n v="46556"/>
    <n v="93112"/>
    <n v="53215"/>
    <n v="11032"/>
    <n v="28865"/>
    <n v="5"/>
    <x v="0"/>
    <s v="Sunday"/>
    <d v="2023-07-23T00:00:00"/>
    <d v="2023-07-01T00:00:00"/>
    <x v="0"/>
    <d v="2023-07-01T00:00:00"/>
    <n v="2023"/>
  </r>
  <r>
    <x v="618"/>
    <x v="3"/>
    <x v="2"/>
    <s v="ART010"/>
    <d v="2023-07-02T00:00:00"/>
    <x v="1"/>
    <x v="4"/>
    <n v="1"/>
    <n v="12927"/>
    <n v="12927"/>
    <n v="6040"/>
    <n v="1643"/>
    <n v="5244"/>
    <n v="35"/>
    <x v="4"/>
    <s v="Sunday"/>
    <d v="2023-07-02T00:00:00"/>
    <d v="2023-07-01T00:00:00"/>
    <x v="0"/>
    <d v="2023-07-01T00:00:00"/>
    <n v="2023"/>
  </r>
  <r>
    <x v="619"/>
    <x v="2"/>
    <x v="1"/>
    <s v="ART018"/>
    <d v="2023-11-05T00:00:00"/>
    <x v="1"/>
    <x v="0"/>
    <n v="9"/>
    <n v="44381"/>
    <n v="399429"/>
    <n v="235649"/>
    <n v="55340"/>
    <n v="108440"/>
    <n v="11"/>
    <x v="4"/>
    <s v="Sunday"/>
    <d v="2023-11-05T00:00:00"/>
    <d v="2023-10-01T00:00:00"/>
    <x v="10"/>
    <d v="2023-11-01T00:00:00"/>
    <n v="2023"/>
  </r>
  <r>
    <x v="620"/>
    <x v="2"/>
    <x v="1"/>
    <s v="ART023"/>
    <d v="2023-04-23T00:00:00"/>
    <x v="3"/>
    <x v="5"/>
    <n v="6"/>
    <n v="28433"/>
    <n v="170598"/>
    <n v="97784"/>
    <n v="33353"/>
    <n v="39461"/>
    <n v="10"/>
    <x v="2"/>
    <s v="Sunday"/>
    <d v="2023-04-23T00:00:00"/>
    <d v="2023-04-01T00:00:00"/>
    <x v="5"/>
    <d v="2023-04-01T00:00:00"/>
    <n v="2023"/>
  </r>
  <r>
    <x v="621"/>
    <x v="2"/>
    <x v="1"/>
    <s v="ART046"/>
    <d v="2023-11-16T00:00:00"/>
    <x v="1"/>
    <x v="1"/>
    <n v="5"/>
    <n v="58726"/>
    <n v="293630"/>
    <n v="104219"/>
    <n v="50193"/>
    <n v="139218"/>
    <n v="29"/>
    <x v="3"/>
    <s v="Thursday"/>
    <d v="2023-11-12T00:00:00"/>
    <d v="2023-10-01T00:00:00"/>
    <x v="10"/>
    <d v="2023-11-01T00:00:00"/>
    <n v="2023"/>
  </r>
  <r>
    <x v="622"/>
    <x v="4"/>
    <x v="2"/>
    <s v="ART033"/>
    <d v="2023-11-22T00:00:00"/>
    <x v="2"/>
    <x v="2"/>
    <n v="10"/>
    <n v="16591"/>
    <n v="165910"/>
    <n v="58689"/>
    <n v="22021"/>
    <n v="85200"/>
    <n v="8"/>
    <x v="3"/>
    <s v="Wednesday"/>
    <d v="2023-11-19T00:00:00"/>
    <d v="2023-10-01T00:00:00"/>
    <x v="10"/>
    <d v="2023-11-01T00:00:00"/>
    <n v="2023"/>
  </r>
  <r>
    <x v="623"/>
    <x v="3"/>
    <x v="2"/>
    <s v="ART015"/>
    <d v="2023-10-09T00:00:00"/>
    <x v="3"/>
    <x v="5"/>
    <n v="9"/>
    <n v="45332"/>
    <n v="407988"/>
    <n v="131937"/>
    <n v="74983"/>
    <n v="201068"/>
    <n v="31"/>
    <x v="0"/>
    <s v="Monday"/>
    <d v="2023-10-08T00:00:00"/>
    <d v="2023-10-01T00:00:00"/>
    <x v="3"/>
    <d v="2023-10-01T00:00:00"/>
    <n v="2023"/>
  </r>
  <r>
    <x v="624"/>
    <x v="4"/>
    <x v="2"/>
    <s v="ART038"/>
    <d v="2023-03-26T00:00:00"/>
    <x v="0"/>
    <x v="1"/>
    <n v="3"/>
    <n v="38172"/>
    <n v="114516"/>
    <n v="63474"/>
    <n v="11917"/>
    <n v="39125"/>
    <n v="46"/>
    <x v="4"/>
    <s v="Sunday"/>
    <d v="2023-03-26T00:00:00"/>
    <d v="2023-01-01T00:00:00"/>
    <x v="2"/>
    <d v="2023-03-01T00:00:00"/>
    <n v="2023"/>
  </r>
  <r>
    <x v="625"/>
    <x v="1"/>
    <x v="0"/>
    <s v="ART033"/>
    <d v="2023-06-25T00:00:00"/>
    <x v="1"/>
    <x v="3"/>
    <n v="6"/>
    <n v="2972"/>
    <n v="17832"/>
    <n v="6350"/>
    <n v="2251"/>
    <n v="9231"/>
    <n v="13"/>
    <x v="4"/>
    <s v="Sunday"/>
    <d v="2023-06-25T00:00:00"/>
    <d v="2023-04-01T00:00:00"/>
    <x v="1"/>
    <d v="2023-06-01T00:00:00"/>
    <n v="2023"/>
  </r>
  <r>
    <x v="626"/>
    <x v="0"/>
    <x v="0"/>
    <s v="ART038"/>
    <d v="2023-09-06T00:00:00"/>
    <x v="0"/>
    <x v="6"/>
    <n v="10"/>
    <n v="51719"/>
    <n v="517190"/>
    <n v="158132"/>
    <n v="85404"/>
    <n v="273654"/>
    <n v="28"/>
    <x v="0"/>
    <s v="Wednesday"/>
    <d v="2023-09-03T00:00:00"/>
    <d v="2023-07-01T00:00:00"/>
    <x v="9"/>
    <d v="2023-09-01T00:00:00"/>
    <n v="2023"/>
  </r>
  <r>
    <x v="627"/>
    <x v="2"/>
    <x v="1"/>
    <s v="ART035"/>
    <d v="2023-09-24T00:00:00"/>
    <x v="1"/>
    <x v="2"/>
    <n v="1"/>
    <n v="50155"/>
    <n v="50155"/>
    <n v="29449"/>
    <n v="5283"/>
    <n v="15423"/>
    <n v="29"/>
    <x v="1"/>
    <s v="Sunday"/>
    <d v="2023-09-24T00:00:00"/>
    <d v="2023-07-01T00:00:00"/>
    <x v="9"/>
    <d v="2023-09-01T00:00:00"/>
    <n v="2023"/>
  </r>
  <r>
    <x v="628"/>
    <x v="4"/>
    <x v="2"/>
    <s v="ART036"/>
    <d v="2023-01-16T00:00:00"/>
    <x v="2"/>
    <x v="0"/>
    <n v="1"/>
    <n v="33585"/>
    <n v="33585"/>
    <n v="17856"/>
    <n v="5486"/>
    <n v="10243"/>
    <n v="3"/>
    <x v="0"/>
    <s v="Monday"/>
    <d v="2023-01-15T00:00:00"/>
    <d v="2023-01-01T00:00:00"/>
    <x v="8"/>
    <d v="2023-01-01T00:00:00"/>
    <n v="2023"/>
  </r>
  <r>
    <x v="629"/>
    <x v="3"/>
    <x v="2"/>
    <s v="ART048"/>
    <d v="2023-01-25T00:00:00"/>
    <x v="0"/>
    <x v="5"/>
    <n v="8"/>
    <n v="54727"/>
    <n v="437816"/>
    <n v="176604"/>
    <n v="52316"/>
    <n v="208896"/>
    <n v="14"/>
    <x v="2"/>
    <s v="Wednesday"/>
    <d v="2023-01-22T00:00:00"/>
    <d v="2023-01-01T00:00:00"/>
    <x v="8"/>
    <d v="2023-01-01T00:00:00"/>
    <n v="2023"/>
  </r>
  <r>
    <x v="630"/>
    <x v="4"/>
    <x v="2"/>
    <s v="ART029"/>
    <d v="2023-01-15T00:00:00"/>
    <x v="0"/>
    <x v="5"/>
    <n v="9"/>
    <n v="63515"/>
    <n v="571635"/>
    <n v="227062"/>
    <n v="104544"/>
    <n v="240029"/>
    <n v="11"/>
    <x v="1"/>
    <s v="Sunday"/>
    <d v="2023-01-15T00:00:00"/>
    <d v="2023-01-01T00:00:00"/>
    <x v="8"/>
    <d v="2023-01-01T00:00:00"/>
    <n v="2023"/>
  </r>
  <r>
    <x v="631"/>
    <x v="2"/>
    <x v="1"/>
    <s v="ART027"/>
    <d v="2023-04-03T00:00:00"/>
    <x v="3"/>
    <x v="6"/>
    <n v="9"/>
    <n v="23865"/>
    <n v="214785"/>
    <n v="103896"/>
    <n v="24285"/>
    <n v="86604"/>
    <n v="30"/>
    <x v="4"/>
    <s v="Monday"/>
    <d v="2023-04-02T00:00:00"/>
    <d v="2023-04-01T00:00:00"/>
    <x v="5"/>
    <d v="2023-04-01T00:00:00"/>
    <n v="2023"/>
  </r>
  <r>
    <x v="632"/>
    <x v="2"/>
    <x v="1"/>
    <s v="ART012"/>
    <d v="2023-08-06T00:00:00"/>
    <x v="2"/>
    <x v="1"/>
    <n v="9"/>
    <n v="22205"/>
    <n v="199845"/>
    <n v="69766"/>
    <n v="27163"/>
    <n v="102916"/>
    <n v="0"/>
    <x v="0"/>
    <s v="Sunday"/>
    <d v="2023-08-06T00:00:00"/>
    <d v="2023-07-01T00:00:00"/>
    <x v="7"/>
    <d v="2023-08-01T00:00:00"/>
    <n v="2023"/>
  </r>
  <r>
    <x v="633"/>
    <x v="3"/>
    <x v="2"/>
    <s v="ART043"/>
    <d v="2023-10-28T00:00:00"/>
    <x v="0"/>
    <x v="1"/>
    <n v="6"/>
    <n v="30557"/>
    <n v="183342"/>
    <n v="102318"/>
    <n v="26843"/>
    <n v="54181"/>
    <n v="5"/>
    <x v="4"/>
    <s v="Saturday"/>
    <d v="2023-10-22T00:00:00"/>
    <d v="2023-10-01T00:00:00"/>
    <x v="3"/>
    <d v="2023-10-01T00:00:00"/>
    <n v="2023"/>
  </r>
  <r>
    <x v="634"/>
    <x v="3"/>
    <x v="2"/>
    <s v="ART015"/>
    <d v="2023-11-16T00:00:00"/>
    <x v="2"/>
    <x v="1"/>
    <n v="6"/>
    <n v="52625"/>
    <n v="315750"/>
    <n v="108476"/>
    <n v="49045"/>
    <n v="158229"/>
    <n v="25"/>
    <x v="4"/>
    <s v="Thursday"/>
    <d v="2023-11-12T00:00:00"/>
    <d v="2023-10-01T00:00:00"/>
    <x v="10"/>
    <d v="2023-11-01T00:00:00"/>
    <n v="2023"/>
  </r>
  <r>
    <x v="635"/>
    <x v="3"/>
    <x v="2"/>
    <s v="ART028"/>
    <d v="2023-08-03T00:00:00"/>
    <x v="3"/>
    <x v="3"/>
    <n v="4"/>
    <n v="37832"/>
    <n v="151328"/>
    <n v="57405"/>
    <n v="18814"/>
    <n v="75109"/>
    <n v="21"/>
    <x v="3"/>
    <s v="Thursday"/>
    <d v="2023-07-30T00:00:00"/>
    <d v="2023-07-01T00:00:00"/>
    <x v="7"/>
    <d v="2023-08-01T00:00:00"/>
    <n v="2023"/>
  </r>
  <r>
    <x v="636"/>
    <x v="2"/>
    <x v="1"/>
    <s v="ART021"/>
    <d v="2023-02-06T00:00:00"/>
    <x v="3"/>
    <x v="3"/>
    <n v="6"/>
    <n v="62090"/>
    <n v="372540"/>
    <n v="120587"/>
    <n v="69454"/>
    <n v="182499"/>
    <n v="4"/>
    <x v="1"/>
    <s v="Monday"/>
    <d v="2023-02-05T00:00:00"/>
    <d v="2023-01-01T00:00:00"/>
    <x v="6"/>
    <d v="2023-02-01T00:00:00"/>
    <n v="2023"/>
  </r>
  <r>
    <x v="637"/>
    <x v="4"/>
    <x v="2"/>
    <s v="ART044"/>
    <d v="2023-10-25T00:00:00"/>
    <x v="1"/>
    <x v="4"/>
    <n v="10"/>
    <n v="55957"/>
    <n v="559570"/>
    <n v="229828"/>
    <n v="106581"/>
    <n v="223161"/>
    <n v="26"/>
    <x v="3"/>
    <s v="Wednesday"/>
    <d v="2023-10-22T00:00:00"/>
    <d v="2023-10-01T00:00:00"/>
    <x v="3"/>
    <d v="2023-10-01T00:00:00"/>
    <n v="2023"/>
  </r>
  <r>
    <x v="638"/>
    <x v="3"/>
    <x v="2"/>
    <s v="ART025"/>
    <d v="2023-09-29T00:00:00"/>
    <x v="0"/>
    <x v="2"/>
    <n v="8"/>
    <n v="2818"/>
    <n v="22544"/>
    <n v="7462"/>
    <n v="3937"/>
    <n v="11145"/>
    <n v="42"/>
    <x v="4"/>
    <s v="Friday"/>
    <d v="2023-09-24T00:00:00"/>
    <d v="2023-07-01T00:00:00"/>
    <x v="9"/>
    <d v="2023-09-01T00:00:00"/>
    <n v="2023"/>
  </r>
  <r>
    <x v="639"/>
    <x v="1"/>
    <x v="0"/>
    <s v="ART014"/>
    <d v="2023-03-04T00:00:00"/>
    <x v="2"/>
    <x v="5"/>
    <n v="4"/>
    <n v="69680"/>
    <n v="278720"/>
    <n v="119477"/>
    <n v="39816"/>
    <n v="119427"/>
    <n v="12"/>
    <x v="4"/>
    <s v="Saturday"/>
    <d v="2023-02-26T00:00:00"/>
    <d v="2023-01-01T00:00:00"/>
    <x v="2"/>
    <d v="2023-03-01T00:00:00"/>
    <n v="2023"/>
  </r>
  <r>
    <x v="640"/>
    <x v="1"/>
    <x v="0"/>
    <s v="ART025"/>
    <d v="2023-11-08T00:00:00"/>
    <x v="2"/>
    <x v="2"/>
    <n v="8"/>
    <n v="8659"/>
    <n v="69272"/>
    <n v="35079"/>
    <n v="9210"/>
    <n v="24983"/>
    <n v="1"/>
    <x v="1"/>
    <s v="Wednesday"/>
    <d v="2023-11-05T00:00:00"/>
    <d v="2023-10-01T00:00:00"/>
    <x v="10"/>
    <d v="2023-11-01T00:00:00"/>
    <n v="2023"/>
  </r>
  <r>
    <x v="641"/>
    <x v="3"/>
    <x v="2"/>
    <s v="ART046"/>
    <d v="2023-06-08T00:00:00"/>
    <x v="2"/>
    <x v="0"/>
    <n v="10"/>
    <n v="28934"/>
    <n v="289340"/>
    <n v="107056"/>
    <n v="29809"/>
    <n v="152475"/>
    <n v="49"/>
    <x v="3"/>
    <s v="Thursday"/>
    <d v="2023-06-04T00:00:00"/>
    <d v="2023-04-01T00:00:00"/>
    <x v="1"/>
    <d v="2023-06-01T00:00:00"/>
    <n v="2023"/>
  </r>
  <r>
    <x v="642"/>
    <x v="3"/>
    <x v="2"/>
    <s v="ART016"/>
    <d v="2023-08-09T00:00:00"/>
    <x v="3"/>
    <x v="2"/>
    <n v="9"/>
    <n v="29045"/>
    <n v="261405"/>
    <n v="153645"/>
    <n v="31815"/>
    <n v="75945"/>
    <n v="34"/>
    <x v="2"/>
    <s v="Wednesday"/>
    <d v="2023-08-06T00:00:00"/>
    <d v="2023-07-01T00:00:00"/>
    <x v="7"/>
    <d v="2023-08-01T00:00:00"/>
    <n v="2023"/>
  </r>
  <r>
    <x v="643"/>
    <x v="4"/>
    <x v="2"/>
    <s v="ART036"/>
    <d v="2023-07-10T00:00:00"/>
    <x v="2"/>
    <x v="4"/>
    <n v="10"/>
    <n v="25801"/>
    <n v="258010"/>
    <n v="98989"/>
    <n v="43775"/>
    <n v="115246"/>
    <n v="47"/>
    <x v="3"/>
    <s v="Monday"/>
    <d v="2023-07-09T00:00:00"/>
    <d v="2023-07-01T00:00:00"/>
    <x v="0"/>
    <d v="2023-07-01T00:00:00"/>
    <n v="2023"/>
  </r>
  <r>
    <x v="644"/>
    <x v="3"/>
    <x v="2"/>
    <s v="ART023"/>
    <d v="2023-08-16T00:00:00"/>
    <x v="3"/>
    <x v="6"/>
    <n v="3"/>
    <n v="44062"/>
    <n v="132186"/>
    <n v="52282"/>
    <n v="13269"/>
    <n v="66635"/>
    <n v="15"/>
    <x v="1"/>
    <s v="Wednesday"/>
    <d v="2023-08-13T00:00:00"/>
    <d v="2023-07-01T00:00:00"/>
    <x v="7"/>
    <d v="2023-08-01T00:00:00"/>
    <n v="2023"/>
  </r>
  <r>
    <x v="645"/>
    <x v="3"/>
    <x v="2"/>
    <s v="ART040"/>
    <d v="2023-09-04T00:00:00"/>
    <x v="1"/>
    <x v="0"/>
    <n v="10"/>
    <n v="61097"/>
    <n v="610970"/>
    <n v="246038"/>
    <n v="93187"/>
    <n v="271745"/>
    <n v="43"/>
    <x v="1"/>
    <s v="Monday"/>
    <d v="2023-09-03T00:00:00"/>
    <d v="2023-07-01T00:00:00"/>
    <x v="9"/>
    <d v="2023-09-01T00:00:00"/>
    <n v="2023"/>
  </r>
  <r>
    <x v="646"/>
    <x v="0"/>
    <x v="0"/>
    <s v="ART026"/>
    <d v="2023-10-01T00:00:00"/>
    <x v="2"/>
    <x v="3"/>
    <n v="3"/>
    <n v="49631"/>
    <n v="148893"/>
    <n v="48879"/>
    <n v="29429"/>
    <n v="70585"/>
    <n v="34"/>
    <x v="0"/>
    <s v="Sunday"/>
    <d v="2023-10-01T00:00:00"/>
    <d v="2023-10-01T00:00:00"/>
    <x v="3"/>
    <d v="2023-10-01T00:00:00"/>
    <n v="2023"/>
  </r>
  <r>
    <x v="647"/>
    <x v="1"/>
    <x v="0"/>
    <s v="ART005"/>
    <d v="2023-05-01T00:00:00"/>
    <x v="2"/>
    <x v="4"/>
    <n v="3"/>
    <n v="40297"/>
    <n v="120891"/>
    <n v="47593"/>
    <n v="12315"/>
    <n v="60983"/>
    <n v="46"/>
    <x v="3"/>
    <s v="Monday"/>
    <d v="2023-04-30T00:00:00"/>
    <d v="2023-04-01T00:00:00"/>
    <x v="4"/>
    <d v="2023-05-01T00:00:00"/>
    <n v="2023"/>
  </r>
  <r>
    <x v="648"/>
    <x v="2"/>
    <x v="1"/>
    <s v="ART011"/>
    <d v="2023-09-12T00:00:00"/>
    <x v="0"/>
    <x v="1"/>
    <n v="6"/>
    <n v="13857"/>
    <n v="83142"/>
    <n v="38861"/>
    <n v="8425"/>
    <n v="35856"/>
    <n v="50"/>
    <x v="4"/>
    <s v="Tuesday"/>
    <d v="2023-09-10T00:00:00"/>
    <d v="2023-07-01T00:00:00"/>
    <x v="9"/>
    <d v="2023-09-01T00:00:00"/>
    <n v="2023"/>
  </r>
  <r>
    <x v="649"/>
    <x v="1"/>
    <x v="0"/>
    <s v="ART040"/>
    <d v="2023-05-04T00:00:00"/>
    <x v="1"/>
    <x v="4"/>
    <n v="5"/>
    <n v="41288"/>
    <n v="206440"/>
    <n v="102456"/>
    <n v="25246"/>
    <n v="78738"/>
    <n v="35"/>
    <x v="1"/>
    <s v="Thursday"/>
    <d v="2023-04-30T00:00:00"/>
    <d v="2023-04-01T00:00:00"/>
    <x v="4"/>
    <d v="2023-05-01T00:00:00"/>
    <n v="2023"/>
  </r>
  <r>
    <x v="650"/>
    <x v="2"/>
    <x v="1"/>
    <s v="ART010"/>
    <d v="2023-01-28T00:00:00"/>
    <x v="3"/>
    <x v="2"/>
    <n v="3"/>
    <n v="28083"/>
    <n v="84249"/>
    <n v="39949"/>
    <n v="14508"/>
    <n v="29792"/>
    <n v="14"/>
    <x v="1"/>
    <s v="Saturday"/>
    <d v="2023-01-22T00:00:00"/>
    <d v="2023-01-01T00:00:00"/>
    <x v="8"/>
    <d v="2023-01-01T00:00:00"/>
    <n v="2023"/>
  </r>
  <r>
    <x v="651"/>
    <x v="1"/>
    <x v="0"/>
    <s v="ART009"/>
    <d v="2023-07-01T00:00:00"/>
    <x v="2"/>
    <x v="4"/>
    <n v="4"/>
    <n v="32299"/>
    <n v="129196"/>
    <n v="65876"/>
    <n v="20178"/>
    <n v="43142"/>
    <n v="31"/>
    <x v="0"/>
    <s v="Saturday"/>
    <d v="2023-06-25T00:00:00"/>
    <d v="2023-07-01T00:00:00"/>
    <x v="0"/>
    <d v="2023-07-01T00:00:00"/>
    <n v="2023"/>
  </r>
  <r>
    <x v="652"/>
    <x v="3"/>
    <x v="2"/>
    <s v="ART022"/>
    <d v="2023-04-02T00:00:00"/>
    <x v="3"/>
    <x v="1"/>
    <n v="9"/>
    <n v="34720"/>
    <n v="312480"/>
    <n v="143318"/>
    <n v="32660"/>
    <n v="136502"/>
    <n v="34"/>
    <x v="4"/>
    <s v="Sunday"/>
    <d v="2023-04-02T00:00:00"/>
    <d v="2023-04-01T00:00:00"/>
    <x v="5"/>
    <d v="2023-04-01T00:00:00"/>
    <n v="2023"/>
  </r>
  <r>
    <x v="653"/>
    <x v="0"/>
    <x v="0"/>
    <s v="ART022"/>
    <d v="2023-07-23T00:00:00"/>
    <x v="0"/>
    <x v="1"/>
    <n v="6"/>
    <n v="2536"/>
    <n v="15216"/>
    <n v="6706"/>
    <n v="2236"/>
    <n v="6274"/>
    <n v="5"/>
    <x v="2"/>
    <s v="Sunday"/>
    <d v="2023-07-23T00:00:00"/>
    <d v="2023-07-01T00:00:00"/>
    <x v="0"/>
    <d v="2023-07-01T00:00:00"/>
    <n v="2023"/>
  </r>
  <r>
    <x v="654"/>
    <x v="2"/>
    <x v="1"/>
    <s v="ART003"/>
    <d v="2023-03-02T00:00:00"/>
    <x v="1"/>
    <x v="5"/>
    <n v="4"/>
    <n v="32092"/>
    <n v="128368"/>
    <n v="46831"/>
    <n v="22732"/>
    <n v="58805"/>
    <n v="29"/>
    <x v="0"/>
    <s v="Thursday"/>
    <d v="2023-02-26T00:00:00"/>
    <d v="2023-01-01T00:00:00"/>
    <x v="2"/>
    <d v="2023-03-01T00:00:00"/>
    <n v="2023"/>
  </r>
  <r>
    <x v="655"/>
    <x v="1"/>
    <x v="0"/>
    <s v="ART041"/>
    <d v="2023-10-21T00:00:00"/>
    <x v="0"/>
    <x v="5"/>
    <n v="9"/>
    <n v="39279"/>
    <n v="353511"/>
    <n v="149151"/>
    <n v="57844"/>
    <n v="146516"/>
    <n v="22"/>
    <x v="0"/>
    <s v="Saturday"/>
    <d v="2023-10-15T00:00:00"/>
    <d v="2023-10-01T00:00:00"/>
    <x v="3"/>
    <d v="2023-10-01T00:00:00"/>
    <n v="2023"/>
  </r>
  <r>
    <x v="656"/>
    <x v="0"/>
    <x v="0"/>
    <s v="ART049"/>
    <d v="2023-03-28T00:00:00"/>
    <x v="0"/>
    <x v="3"/>
    <n v="8"/>
    <n v="47413"/>
    <n v="379304"/>
    <n v="205355"/>
    <n v="39091"/>
    <n v="134858"/>
    <n v="27"/>
    <x v="3"/>
    <s v="Tuesday"/>
    <d v="2023-03-26T00:00:00"/>
    <d v="2023-01-01T00:00:00"/>
    <x v="2"/>
    <d v="2023-03-01T00:00:00"/>
    <n v="2023"/>
  </r>
  <r>
    <x v="657"/>
    <x v="0"/>
    <x v="0"/>
    <s v="ART045"/>
    <d v="2023-09-08T00:00:00"/>
    <x v="0"/>
    <x v="1"/>
    <n v="5"/>
    <n v="32533"/>
    <n v="162665"/>
    <n v="96773"/>
    <n v="27857"/>
    <n v="38035"/>
    <n v="40"/>
    <x v="1"/>
    <s v="Friday"/>
    <d v="2023-09-03T00:00:00"/>
    <d v="2023-07-01T00:00:00"/>
    <x v="9"/>
    <d v="2023-09-01T00:00:00"/>
    <n v="2023"/>
  </r>
  <r>
    <x v="658"/>
    <x v="4"/>
    <x v="2"/>
    <s v="ART032"/>
    <d v="2023-09-30T00:00:00"/>
    <x v="3"/>
    <x v="0"/>
    <n v="3"/>
    <n v="21078"/>
    <n v="63234"/>
    <n v="24111"/>
    <n v="10227"/>
    <n v="28896"/>
    <n v="47"/>
    <x v="2"/>
    <s v="Saturday"/>
    <d v="2023-09-24T00:00:00"/>
    <d v="2023-07-01T00:00:00"/>
    <x v="9"/>
    <d v="2023-09-01T00:00:00"/>
    <n v="2023"/>
  </r>
  <r>
    <x v="659"/>
    <x v="0"/>
    <x v="0"/>
    <s v="ART041"/>
    <d v="2023-01-18T00:00:00"/>
    <x v="1"/>
    <x v="4"/>
    <n v="10"/>
    <n v="36468"/>
    <n v="364680"/>
    <n v="137286"/>
    <n v="57640"/>
    <n v="169754"/>
    <n v="21"/>
    <x v="0"/>
    <s v="Wednesday"/>
    <d v="2023-01-15T00:00:00"/>
    <d v="2023-01-01T00:00:00"/>
    <x v="8"/>
    <d v="2023-01-01T00:00:00"/>
    <n v="2023"/>
  </r>
  <r>
    <x v="660"/>
    <x v="3"/>
    <x v="2"/>
    <s v="ART024"/>
    <d v="2023-04-26T00:00:00"/>
    <x v="2"/>
    <x v="4"/>
    <n v="7"/>
    <n v="20101"/>
    <n v="140707"/>
    <n v="74701"/>
    <n v="17311"/>
    <n v="48695"/>
    <n v="4"/>
    <x v="4"/>
    <s v="Wednesday"/>
    <d v="2023-04-23T00:00:00"/>
    <d v="2023-04-01T00:00:00"/>
    <x v="5"/>
    <d v="2023-04-01T00:00:00"/>
    <n v="2023"/>
  </r>
  <r>
    <x v="661"/>
    <x v="0"/>
    <x v="0"/>
    <s v="ART023"/>
    <d v="2023-06-10T00:00:00"/>
    <x v="3"/>
    <x v="2"/>
    <n v="8"/>
    <n v="28987"/>
    <n v="231896"/>
    <n v="122315"/>
    <n v="46049"/>
    <n v="63532"/>
    <n v="17"/>
    <x v="4"/>
    <s v="Saturday"/>
    <d v="2023-06-04T00:00:00"/>
    <d v="2023-04-01T00:00:00"/>
    <x v="1"/>
    <d v="2023-06-01T00:00:00"/>
    <n v="2023"/>
  </r>
  <r>
    <x v="662"/>
    <x v="3"/>
    <x v="2"/>
    <s v="ART031"/>
    <d v="2023-03-04T00:00:00"/>
    <x v="1"/>
    <x v="4"/>
    <n v="1"/>
    <n v="18863"/>
    <n v="18863"/>
    <n v="9140"/>
    <n v="3338"/>
    <n v="6385"/>
    <n v="34"/>
    <x v="0"/>
    <s v="Saturday"/>
    <d v="2023-02-26T00:00:00"/>
    <d v="2023-01-01T00:00:00"/>
    <x v="2"/>
    <d v="2023-03-01T00:00:00"/>
    <n v="2023"/>
  </r>
  <r>
    <x v="663"/>
    <x v="2"/>
    <x v="1"/>
    <s v="ART031"/>
    <d v="2023-09-16T00:00:00"/>
    <x v="2"/>
    <x v="2"/>
    <n v="5"/>
    <n v="53861"/>
    <n v="269305"/>
    <n v="143501"/>
    <n v="37867"/>
    <n v="87937"/>
    <n v="41"/>
    <x v="4"/>
    <s v="Saturday"/>
    <d v="2023-09-10T00:00:00"/>
    <d v="2023-07-01T00:00:00"/>
    <x v="9"/>
    <d v="2023-09-01T00:00:00"/>
    <n v="2023"/>
  </r>
  <r>
    <x v="664"/>
    <x v="4"/>
    <x v="2"/>
    <s v="ART008"/>
    <d v="2023-09-30T00:00:00"/>
    <x v="1"/>
    <x v="4"/>
    <n v="10"/>
    <n v="18559"/>
    <n v="185590"/>
    <n v="106072"/>
    <n v="19943"/>
    <n v="59575"/>
    <n v="38"/>
    <x v="0"/>
    <s v="Saturday"/>
    <d v="2023-09-24T00:00:00"/>
    <d v="2023-07-01T00:00:00"/>
    <x v="9"/>
    <d v="2023-09-01T00:00:00"/>
    <n v="2023"/>
  </r>
  <r>
    <x v="665"/>
    <x v="2"/>
    <x v="1"/>
    <s v="ART020"/>
    <d v="2023-01-20T00:00:00"/>
    <x v="1"/>
    <x v="6"/>
    <n v="3"/>
    <n v="64760"/>
    <n v="194280"/>
    <n v="66383"/>
    <n v="24817"/>
    <n v="103080"/>
    <n v="20"/>
    <x v="4"/>
    <s v="Friday"/>
    <d v="2023-01-15T00:00:00"/>
    <d v="2023-01-01T00:00:00"/>
    <x v="8"/>
    <d v="2023-01-01T00:00:00"/>
    <n v="2023"/>
  </r>
  <r>
    <x v="666"/>
    <x v="3"/>
    <x v="2"/>
    <s v="ART019"/>
    <d v="2023-01-07T00:00:00"/>
    <x v="1"/>
    <x v="3"/>
    <n v="1"/>
    <n v="35047"/>
    <n v="35047"/>
    <n v="12657"/>
    <n v="4334"/>
    <n v="18056"/>
    <n v="45"/>
    <x v="1"/>
    <s v="Saturday"/>
    <d v="2023-01-01T00:00:00"/>
    <d v="2023-01-01T00:00:00"/>
    <x v="8"/>
    <d v="2023-01-01T00:00:00"/>
    <n v="2023"/>
  </r>
  <r>
    <x v="667"/>
    <x v="3"/>
    <x v="2"/>
    <s v="ART011"/>
    <d v="2023-01-04T00:00:00"/>
    <x v="0"/>
    <x v="0"/>
    <n v="9"/>
    <n v="49346"/>
    <n v="444114"/>
    <n v="262162"/>
    <n v="49349"/>
    <n v="132603"/>
    <n v="32"/>
    <x v="0"/>
    <s v="Wednesday"/>
    <d v="2023-01-01T00:00:00"/>
    <d v="2023-01-01T00:00:00"/>
    <x v="8"/>
    <d v="2023-01-01T00:00:00"/>
    <n v="2023"/>
  </r>
  <r>
    <x v="668"/>
    <x v="3"/>
    <x v="2"/>
    <s v="ART030"/>
    <d v="2023-09-05T00:00:00"/>
    <x v="3"/>
    <x v="6"/>
    <n v="4"/>
    <n v="29913"/>
    <n v="119652"/>
    <n v="47960"/>
    <n v="14177"/>
    <n v="57515"/>
    <n v="25"/>
    <x v="0"/>
    <s v="Tuesday"/>
    <d v="2023-09-03T00:00:00"/>
    <d v="2023-07-01T00:00:00"/>
    <x v="9"/>
    <d v="2023-09-01T00:00:00"/>
    <n v="2023"/>
  </r>
  <r>
    <x v="669"/>
    <x v="4"/>
    <x v="2"/>
    <s v="ART018"/>
    <d v="2023-05-26T00:00:00"/>
    <x v="3"/>
    <x v="5"/>
    <n v="9"/>
    <n v="28031"/>
    <n v="252279"/>
    <n v="134769"/>
    <n v="39256"/>
    <n v="78254"/>
    <n v="29"/>
    <x v="0"/>
    <s v="Friday"/>
    <d v="2023-05-21T00:00:00"/>
    <d v="2023-04-01T00:00:00"/>
    <x v="4"/>
    <d v="2023-05-01T00:00:00"/>
    <n v="2023"/>
  </r>
  <r>
    <x v="670"/>
    <x v="4"/>
    <x v="2"/>
    <s v="ART031"/>
    <d v="2023-06-09T00:00:00"/>
    <x v="3"/>
    <x v="2"/>
    <n v="6"/>
    <n v="26594"/>
    <n v="159564"/>
    <n v="54782"/>
    <n v="25206"/>
    <n v="79576"/>
    <n v="47"/>
    <x v="1"/>
    <s v="Friday"/>
    <d v="2023-06-04T00:00:00"/>
    <d v="2023-04-01T00:00:00"/>
    <x v="1"/>
    <d v="2023-06-01T00:00:00"/>
    <n v="2023"/>
  </r>
  <r>
    <x v="671"/>
    <x v="1"/>
    <x v="0"/>
    <s v="ART040"/>
    <d v="2023-01-17T00:00:00"/>
    <x v="3"/>
    <x v="5"/>
    <n v="9"/>
    <n v="66867"/>
    <n v="601803"/>
    <n v="360304"/>
    <n v="76057"/>
    <n v="165442"/>
    <n v="0"/>
    <x v="0"/>
    <s v="Tuesday"/>
    <d v="2023-01-15T00:00:00"/>
    <d v="2023-01-01T00:00:00"/>
    <x v="8"/>
    <d v="2023-01-01T00:00:00"/>
    <n v="2023"/>
  </r>
  <r>
    <x v="672"/>
    <x v="2"/>
    <x v="1"/>
    <s v="ART009"/>
    <d v="2023-05-06T00:00:00"/>
    <x v="0"/>
    <x v="2"/>
    <n v="5"/>
    <n v="53367"/>
    <n v="266835"/>
    <n v="113423"/>
    <n v="37177"/>
    <n v="116235"/>
    <n v="5"/>
    <x v="3"/>
    <s v="Saturday"/>
    <d v="2023-04-30T00:00:00"/>
    <d v="2023-04-01T00:00:00"/>
    <x v="4"/>
    <d v="2023-05-01T00:00:00"/>
    <n v="2023"/>
  </r>
  <r>
    <x v="673"/>
    <x v="1"/>
    <x v="0"/>
    <s v="ART010"/>
    <d v="2023-04-25T00:00:00"/>
    <x v="1"/>
    <x v="2"/>
    <n v="2"/>
    <n v="15426"/>
    <n v="30852"/>
    <n v="16994"/>
    <n v="3557"/>
    <n v="10301"/>
    <n v="47"/>
    <x v="1"/>
    <s v="Tuesday"/>
    <d v="2023-04-23T00:00:00"/>
    <d v="2023-04-01T00:00:00"/>
    <x v="5"/>
    <d v="2023-04-01T00:00:00"/>
    <n v="2023"/>
  </r>
  <r>
    <x v="674"/>
    <x v="3"/>
    <x v="2"/>
    <s v="ART032"/>
    <d v="2023-06-19T00:00:00"/>
    <x v="2"/>
    <x v="0"/>
    <n v="4"/>
    <n v="49530"/>
    <n v="198120"/>
    <n v="75493"/>
    <n v="39248"/>
    <n v="83379"/>
    <n v="49"/>
    <x v="3"/>
    <s v="Monday"/>
    <d v="2023-06-18T00:00:00"/>
    <d v="2023-04-01T00:00:00"/>
    <x v="1"/>
    <d v="2023-06-01T00:00:00"/>
    <n v="2023"/>
  </r>
  <r>
    <x v="675"/>
    <x v="2"/>
    <x v="1"/>
    <s v="ART005"/>
    <d v="2023-04-03T00:00:00"/>
    <x v="3"/>
    <x v="2"/>
    <n v="5"/>
    <n v="54115"/>
    <n v="270575"/>
    <n v="138947"/>
    <n v="29981"/>
    <n v="101647"/>
    <n v="35"/>
    <x v="1"/>
    <s v="Monday"/>
    <d v="2023-04-02T00:00:00"/>
    <d v="2023-04-01T00:00:00"/>
    <x v="5"/>
    <d v="2023-04-01T00:00:00"/>
    <n v="2023"/>
  </r>
  <r>
    <x v="676"/>
    <x v="0"/>
    <x v="0"/>
    <s v="ART049"/>
    <d v="2023-09-08T00:00:00"/>
    <x v="0"/>
    <x v="0"/>
    <n v="7"/>
    <n v="46823"/>
    <n v="327761"/>
    <n v="134150"/>
    <n v="50829"/>
    <n v="142782"/>
    <n v="21"/>
    <x v="0"/>
    <s v="Friday"/>
    <d v="2023-09-03T00:00:00"/>
    <d v="2023-07-01T00:00:00"/>
    <x v="9"/>
    <d v="2023-09-01T00:00:00"/>
    <n v="2023"/>
  </r>
  <r>
    <x v="677"/>
    <x v="2"/>
    <x v="1"/>
    <s v="ART041"/>
    <d v="2023-02-07T00:00:00"/>
    <x v="1"/>
    <x v="6"/>
    <n v="6"/>
    <n v="5659"/>
    <n v="33954"/>
    <n v="10814"/>
    <n v="5028"/>
    <n v="18112"/>
    <n v="23"/>
    <x v="1"/>
    <s v="Tuesday"/>
    <d v="2023-02-05T00:00:00"/>
    <d v="2023-01-01T00:00:00"/>
    <x v="6"/>
    <d v="2023-02-01T00:00:00"/>
    <n v="2023"/>
  </r>
  <r>
    <x v="678"/>
    <x v="4"/>
    <x v="2"/>
    <s v="ART037"/>
    <d v="2023-10-05T00:00:00"/>
    <x v="2"/>
    <x v="2"/>
    <n v="3"/>
    <n v="57977"/>
    <n v="173931"/>
    <n v="85535"/>
    <n v="31843"/>
    <n v="56553"/>
    <n v="50"/>
    <x v="2"/>
    <s v="Thursday"/>
    <d v="2023-10-01T00:00:00"/>
    <d v="2023-10-01T00:00:00"/>
    <x v="3"/>
    <d v="2023-10-01T00:00:00"/>
    <n v="2023"/>
  </r>
  <r>
    <x v="679"/>
    <x v="1"/>
    <x v="0"/>
    <s v="ART011"/>
    <d v="2023-10-09T00:00:00"/>
    <x v="3"/>
    <x v="5"/>
    <n v="9"/>
    <n v="22876"/>
    <n v="205884"/>
    <n v="115057"/>
    <n v="20598"/>
    <n v="70229"/>
    <n v="34"/>
    <x v="0"/>
    <s v="Monday"/>
    <d v="2023-10-08T00:00:00"/>
    <d v="2023-10-01T00:00:00"/>
    <x v="3"/>
    <d v="2023-10-01T00:00:00"/>
    <n v="2023"/>
  </r>
  <r>
    <x v="680"/>
    <x v="4"/>
    <x v="2"/>
    <s v="ART016"/>
    <d v="2023-08-14T00:00:00"/>
    <x v="1"/>
    <x v="2"/>
    <n v="3"/>
    <n v="23518"/>
    <n v="70554"/>
    <n v="30901"/>
    <n v="9687"/>
    <n v="29966"/>
    <n v="28"/>
    <x v="2"/>
    <s v="Monday"/>
    <d v="2023-08-13T00:00:00"/>
    <d v="2023-07-01T00:00:00"/>
    <x v="7"/>
    <d v="2023-08-01T00:00:00"/>
    <n v="2023"/>
  </r>
  <r>
    <x v="681"/>
    <x v="4"/>
    <x v="2"/>
    <s v="ART019"/>
    <d v="2023-08-08T00:00:00"/>
    <x v="2"/>
    <x v="0"/>
    <n v="1"/>
    <n v="15771"/>
    <n v="15771"/>
    <n v="5361"/>
    <n v="1703"/>
    <n v="8707"/>
    <n v="30"/>
    <x v="1"/>
    <s v="Tuesday"/>
    <d v="2023-08-06T00:00:00"/>
    <d v="2023-07-01T00:00:00"/>
    <x v="7"/>
    <d v="2023-08-01T00:00:00"/>
    <n v="2023"/>
  </r>
  <r>
    <x v="682"/>
    <x v="1"/>
    <x v="0"/>
    <s v="ART030"/>
    <d v="2023-03-19T00:00:00"/>
    <x v="1"/>
    <x v="2"/>
    <n v="6"/>
    <n v="62967"/>
    <n v="377802"/>
    <n v="140299"/>
    <n v="64949"/>
    <n v="172554"/>
    <n v="11"/>
    <x v="3"/>
    <s v="Sunday"/>
    <d v="2023-03-19T00:00:00"/>
    <d v="2023-01-01T00:00:00"/>
    <x v="2"/>
    <d v="2023-03-01T00:00:00"/>
    <n v="2023"/>
  </r>
  <r>
    <x v="683"/>
    <x v="2"/>
    <x v="1"/>
    <s v="ART034"/>
    <d v="2023-10-12T00:00:00"/>
    <x v="1"/>
    <x v="2"/>
    <n v="5"/>
    <n v="27397"/>
    <n v="136985"/>
    <n v="68155"/>
    <n v="26821"/>
    <n v="42009"/>
    <n v="48"/>
    <x v="1"/>
    <s v="Thursday"/>
    <d v="2023-10-08T00:00:00"/>
    <d v="2023-10-01T00:00:00"/>
    <x v="3"/>
    <d v="2023-10-01T00:00:00"/>
    <n v="2023"/>
  </r>
  <r>
    <x v="684"/>
    <x v="1"/>
    <x v="0"/>
    <s v="ART048"/>
    <d v="2023-11-05T00:00:00"/>
    <x v="2"/>
    <x v="0"/>
    <n v="3"/>
    <n v="57646"/>
    <n v="172938"/>
    <n v="85973"/>
    <n v="18874"/>
    <n v="68091"/>
    <n v="8"/>
    <x v="4"/>
    <s v="Sunday"/>
    <d v="2023-11-05T00:00:00"/>
    <d v="2023-10-01T00:00:00"/>
    <x v="10"/>
    <d v="2023-11-01T00:00:00"/>
    <n v="2023"/>
  </r>
  <r>
    <x v="685"/>
    <x v="2"/>
    <x v="1"/>
    <s v="ART021"/>
    <d v="2023-02-12T00:00:00"/>
    <x v="3"/>
    <x v="2"/>
    <n v="3"/>
    <n v="27710"/>
    <n v="83130"/>
    <n v="45829"/>
    <n v="12833"/>
    <n v="24468"/>
    <n v="46"/>
    <x v="1"/>
    <s v="Sunday"/>
    <d v="2023-02-12T00:00:00"/>
    <d v="2023-01-01T00:00:00"/>
    <x v="6"/>
    <d v="2023-02-01T00:00:00"/>
    <n v="2023"/>
  </r>
  <r>
    <x v="686"/>
    <x v="3"/>
    <x v="2"/>
    <s v="ART029"/>
    <d v="2023-07-18T00:00:00"/>
    <x v="3"/>
    <x v="5"/>
    <n v="2"/>
    <n v="15146"/>
    <n v="30292"/>
    <n v="11204"/>
    <n v="6009"/>
    <n v="13079"/>
    <n v="8"/>
    <x v="0"/>
    <s v="Tuesday"/>
    <d v="2023-07-16T00:00:00"/>
    <d v="2023-07-01T00:00:00"/>
    <x v="0"/>
    <d v="2023-07-01T00:00:00"/>
    <n v="2023"/>
  </r>
  <r>
    <x v="687"/>
    <x v="4"/>
    <x v="2"/>
    <s v="ART023"/>
    <d v="2023-02-15T00:00:00"/>
    <x v="0"/>
    <x v="1"/>
    <n v="1"/>
    <n v="8129"/>
    <n v="8129"/>
    <n v="2905"/>
    <n v="989"/>
    <n v="4235"/>
    <n v="12"/>
    <x v="3"/>
    <s v="Wednesday"/>
    <d v="2023-02-12T00:00:00"/>
    <d v="2023-01-01T00:00:00"/>
    <x v="6"/>
    <d v="2023-02-01T00:00:00"/>
    <n v="2023"/>
  </r>
  <r>
    <x v="688"/>
    <x v="4"/>
    <x v="2"/>
    <s v="ART020"/>
    <d v="2023-08-31T00:00:00"/>
    <x v="0"/>
    <x v="5"/>
    <n v="3"/>
    <n v="42110"/>
    <n v="126330"/>
    <n v="39701"/>
    <n v="17096"/>
    <n v="69533"/>
    <n v="23"/>
    <x v="3"/>
    <s v="Thursday"/>
    <d v="2023-08-27T00:00:00"/>
    <d v="2023-07-01T00:00:00"/>
    <x v="7"/>
    <d v="2023-08-01T00:00:00"/>
    <n v="2023"/>
  </r>
  <r>
    <x v="689"/>
    <x v="3"/>
    <x v="2"/>
    <s v="ART048"/>
    <d v="2023-04-27T00:00:00"/>
    <x v="2"/>
    <x v="2"/>
    <n v="7"/>
    <n v="19421"/>
    <n v="135947"/>
    <n v="62089"/>
    <n v="24651"/>
    <n v="49207"/>
    <n v="41"/>
    <x v="3"/>
    <s v="Thursday"/>
    <d v="2023-04-23T00:00:00"/>
    <d v="2023-04-01T00:00:00"/>
    <x v="5"/>
    <d v="2023-04-01T00:00:00"/>
    <n v="2023"/>
  </r>
  <r>
    <x v="690"/>
    <x v="3"/>
    <x v="2"/>
    <s v="ART028"/>
    <d v="2023-08-13T00:00:00"/>
    <x v="2"/>
    <x v="6"/>
    <n v="4"/>
    <n v="29511"/>
    <n v="118044"/>
    <n v="45561"/>
    <n v="18062"/>
    <n v="54421"/>
    <n v="3"/>
    <x v="4"/>
    <s v="Sunday"/>
    <d v="2023-08-13T00:00:00"/>
    <d v="2023-07-01T00:00:00"/>
    <x v="7"/>
    <d v="2023-08-01T00:00:00"/>
    <n v="2023"/>
  </r>
  <r>
    <x v="691"/>
    <x v="1"/>
    <x v="0"/>
    <s v="ART001"/>
    <d v="2023-10-30T00:00:00"/>
    <x v="3"/>
    <x v="4"/>
    <n v="5"/>
    <n v="28498"/>
    <n v="142490"/>
    <n v="48707"/>
    <n v="27580"/>
    <n v="66203"/>
    <n v="24"/>
    <x v="3"/>
    <s v="Monday"/>
    <d v="2023-10-29T00:00:00"/>
    <d v="2023-10-01T00:00:00"/>
    <x v="3"/>
    <d v="2023-10-01T00:00:00"/>
    <n v="2023"/>
  </r>
  <r>
    <x v="692"/>
    <x v="4"/>
    <x v="2"/>
    <s v="ART028"/>
    <d v="2023-02-11T00:00:00"/>
    <x v="3"/>
    <x v="2"/>
    <n v="1"/>
    <n v="63602"/>
    <n v="63602"/>
    <n v="33092"/>
    <n v="10104"/>
    <n v="20406"/>
    <n v="24"/>
    <x v="2"/>
    <s v="Saturday"/>
    <d v="2023-02-05T00:00:00"/>
    <d v="2023-01-01T00:00:00"/>
    <x v="6"/>
    <d v="2023-02-01T00:00:00"/>
    <n v="2023"/>
  </r>
  <r>
    <x v="693"/>
    <x v="1"/>
    <x v="0"/>
    <s v="ART037"/>
    <d v="2023-04-28T00:00:00"/>
    <x v="2"/>
    <x v="6"/>
    <n v="6"/>
    <n v="16005"/>
    <n v="96030"/>
    <n v="33330"/>
    <n v="17506"/>
    <n v="45194"/>
    <n v="6"/>
    <x v="0"/>
    <s v="Friday"/>
    <d v="2023-04-23T00:00:00"/>
    <d v="2023-04-01T00:00:00"/>
    <x v="5"/>
    <d v="2023-04-01T00:00:00"/>
    <n v="2023"/>
  </r>
  <r>
    <x v="694"/>
    <x v="1"/>
    <x v="0"/>
    <s v="ART011"/>
    <d v="2023-05-27T00:00:00"/>
    <x v="0"/>
    <x v="4"/>
    <n v="7"/>
    <n v="3509"/>
    <n v="24563"/>
    <n v="7876"/>
    <n v="4866"/>
    <n v="11821"/>
    <n v="3"/>
    <x v="1"/>
    <s v="Saturday"/>
    <d v="2023-05-21T00:00:00"/>
    <d v="2023-04-01T00:00:00"/>
    <x v="4"/>
    <d v="2023-05-01T00:00:00"/>
    <n v="2023"/>
  </r>
  <r>
    <x v="695"/>
    <x v="3"/>
    <x v="2"/>
    <s v="ART021"/>
    <d v="2023-08-17T00:00:00"/>
    <x v="3"/>
    <x v="5"/>
    <n v="6"/>
    <n v="61308"/>
    <n v="367848"/>
    <n v="203582"/>
    <n v="47992"/>
    <n v="116274"/>
    <n v="13"/>
    <x v="4"/>
    <s v="Thursday"/>
    <d v="2023-08-13T00:00:00"/>
    <d v="2023-07-01T00:00:00"/>
    <x v="7"/>
    <d v="2023-08-01T00:00:00"/>
    <n v="2023"/>
  </r>
  <r>
    <x v="696"/>
    <x v="2"/>
    <x v="1"/>
    <s v="ART029"/>
    <d v="2023-05-16T00:00:00"/>
    <x v="3"/>
    <x v="6"/>
    <n v="1"/>
    <n v="14588"/>
    <n v="14588"/>
    <n v="8325"/>
    <n v="2543"/>
    <n v="3720"/>
    <n v="7"/>
    <x v="2"/>
    <s v="Tuesday"/>
    <d v="2023-05-14T00:00:00"/>
    <d v="2023-04-01T00:00:00"/>
    <x v="4"/>
    <d v="2023-05-01T00:00:00"/>
    <n v="2023"/>
  </r>
  <r>
    <x v="697"/>
    <x v="4"/>
    <x v="2"/>
    <s v="ART049"/>
    <d v="2023-01-07T00:00:00"/>
    <x v="2"/>
    <x v="6"/>
    <n v="6"/>
    <n v="43156"/>
    <n v="258936"/>
    <n v="139661"/>
    <n v="41942"/>
    <n v="77333"/>
    <n v="3"/>
    <x v="2"/>
    <s v="Saturday"/>
    <d v="2023-01-01T00:00:00"/>
    <d v="2023-01-01T00:00:00"/>
    <x v="8"/>
    <d v="2023-01-01T00:00:00"/>
    <n v="2023"/>
  </r>
  <r>
    <x v="698"/>
    <x v="4"/>
    <x v="2"/>
    <s v="ART016"/>
    <d v="2023-05-07T00:00:00"/>
    <x v="2"/>
    <x v="1"/>
    <n v="1"/>
    <n v="4602"/>
    <n v="4602"/>
    <n v="1435"/>
    <n v="497"/>
    <n v="2670"/>
    <n v="31"/>
    <x v="0"/>
    <s v="Sunday"/>
    <d v="2023-05-07T00:00:00"/>
    <d v="2023-04-01T00:00:00"/>
    <x v="4"/>
    <d v="2023-05-01T00:00:00"/>
    <n v="2023"/>
  </r>
  <r>
    <x v="699"/>
    <x v="4"/>
    <x v="2"/>
    <s v="ART020"/>
    <d v="2023-07-07T00:00:00"/>
    <x v="1"/>
    <x v="2"/>
    <n v="4"/>
    <n v="35878"/>
    <n v="143512"/>
    <n v="85021"/>
    <n v="21508"/>
    <n v="36983"/>
    <n v="38"/>
    <x v="2"/>
    <s v="Friday"/>
    <d v="2023-07-02T00:00:00"/>
    <d v="2023-07-01T00:00:00"/>
    <x v="0"/>
    <d v="2023-07-01T00:00:00"/>
    <n v="2023"/>
  </r>
  <r>
    <x v="700"/>
    <x v="0"/>
    <x v="0"/>
    <s v="ART004"/>
    <d v="2023-05-14T00:00:00"/>
    <x v="1"/>
    <x v="4"/>
    <n v="3"/>
    <n v="68770"/>
    <n v="206310"/>
    <n v="92764"/>
    <n v="31866"/>
    <n v="81680"/>
    <n v="6"/>
    <x v="1"/>
    <s v="Sunday"/>
    <d v="2023-05-14T00:00:00"/>
    <d v="2023-04-01T00:00:00"/>
    <x v="4"/>
    <d v="2023-05-01T00:00:00"/>
    <n v="2023"/>
  </r>
  <r>
    <x v="701"/>
    <x v="4"/>
    <x v="2"/>
    <s v="ART010"/>
    <d v="2023-02-15T00:00:00"/>
    <x v="1"/>
    <x v="1"/>
    <n v="10"/>
    <n v="63316"/>
    <n v="633160"/>
    <n v="280452"/>
    <n v="95133"/>
    <n v="257575"/>
    <n v="48"/>
    <x v="3"/>
    <s v="Wednesday"/>
    <d v="2023-02-12T00:00:00"/>
    <d v="2023-01-01T00:00:00"/>
    <x v="6"/>
    <d v="2023-02-01T00:00:00"/>
    <n v="2023"/>
  </r>
  <r>
    <x v="702"/>
    <x v="3"/>
    <x v="2"/>
    <s v="ART047"/>
    <d v="2023-08-22T00:00:00"/>
    <x v="0"/>
    <x v="2"/>
    <n v="4"/>
    <n v="27684"/>
    <n v="110736"/>
    <n v="45345"/>
    <n v="20121"/>
    <n v="45270"/>
    <n v="30"/>
    <x v="2"/>
    <s v="Tuesday"/>
    <d v="2023-08-20T00:00:00"/>
    <d v="2023-07-01T00:00:00"/>
    <x v="7"/>
    <d v="2023-08-01T00:00:00"/>
    <n v="2023"/>
  </r>
  <r>
    <x v="703"/>
    <x v="4"/>
    <x v="2"/>
    <s v="ART023"/>
    <d v="2023-08-25T00:00:00"/>
    <x v="3"/>
    <x v="1"/>
    <n v="8"/>
    <n v="12169"/>
    <n v="97352"/>
    <n v="50760"/>
    <n v="19107"/>
    <n v="27485"/>
    <n v="31"/>
    <x v="0"/>
    <s v="Friday"/>
    <d v="2023-08-20T00:00:00"/>
    <d v="2023-07-01T00:00:00"/>
    <x v="7"/>
    <d v="2023-08-01T00:00:00"/>
    <n v="2023"/>
  </r>
  <r>
    <x v="704"/>
    <x v="2"/>
    <x v="1"/>
    <s v="ART032"/>
    <d v="2023-11-12T00:00:00"/>
    <x v="2"/>
    <x v="2"/>
    <n v="9"/>
    <n v="68812"/>
    <n v="619308"/>
    <n v="254260"/>
    <n v="104086"/>
    <n v="260962"/>
    <n v="47"/>
    <x v="3"/>
    <s v="Sunday"/>
    <d v="2023-11-12T00:00:00"/>
    <d v="2023-10-01T00:00:00"/>
    <x v="10"/>
    <d v="2023-11-01T00:00:00"/>
    <n v="2023"/>
  </r>
  <r>
    <x v="705"/>
    <x v="1"/>
    <x v="0"/>
    <s v="ART006"/>
    <d v="2023-01-08T00:00:00"/>
    <x v="1"/>
    <x v="3"/>
    <n v="4"/>
    <n v="64569"/>
    <n v="258276"/>
    <n v="117009"/>
    <n v="37365"/>
    <n v="103902"/>
    <n v="50"/>
    <x v="2"/>
    <s v="Sunday"/>
    <d v="2023-01-08T00:00:00"/>
    <d v="2023-01-01T00:00:00"/>
    <x v="8"/>
    <d v="2023-01-01T00:00:00"/>
    <n v="2023"/>
  </r>
  <r>
    <x v="706"/>
    <x v="3"/>
    <x v="2"/>
    <s v="ART010"/>
    <d v="2023-10-11T00:00:00"/>
    <x v="3"/>
    <x v="0"/>
    <n v="4"/>
    <n v="5886"/>
    <n v="23544"/>
    <n v="12740"/>
    <n v="3244"/>
    <n v="7560"/>
    <n v="2"/>
    <x v="1"/>
    <s v="Wednesday"/>
    <d v="2023-10-08T00:00:00"/>
    <d v="2023-10-01T00:00:00"/>
    <x v="3"/>
    <d v="2023-10-01T00:00:00"/>
    <n v="2023"/>
  </r>
  <r>
    <x v="707"/>
    <x v="3"/>
    <x v="2"/>
    <s v="ART002"/>
    <d v="2023-01-20T00:00:00"/>
    <x v="0"/>
    <x v="3"/>
    <n v="10"/>
    <n v="16158"/>
    <n v="161580"/>
    <n v="50934"/>
    <n v="26916"/>
    <n v="83730"/>
    <n v="14"/>
    <x v="0"/>
    <s v="Friday"/>
    <d v="2023-01-15T00:00:00"/>
    <d v="2023-01-01T00:00:00"/>
    <x v="8"/>
    <d v="2023-01-01T00:00:00"/>
    <n v="2023"/>
  </r>
  <r>
    <x v="708"/>
    <x v="4"/>
    <x v="2"/>
    <s v="ART046"/>
    <d v="2023-07-14T00:00:00"/>
    <x v="0"/>
    <x v="5"/>
    <n v="3"/>
    <n v="53941"/>
    <n v="161823"/>
    <n v="56425"/>
    <n v="25554"/>
    <n v="79844"/>
    <n v="26"/>
    <x v="3"/>
    <s v="Friday"/>
    <d v="2023-07-09T00:00:00"/>
    <d v="2023-07-01T00:00:00"/>
    <x v="0"/>
    <d v="2023-07-01T00:00:00"/>
    <n v="2023"/>
  </r>
  <r>
    <x v="709"/>
    <x v="4"/>
    <x v="2"/>
    <s v="ART018"/>
    <d v="2023-02-22T00:00:00"/>
    <x v="0"/>
    <x v="3"/>
    <n v="7"/>
    <n v="65007"/>
    <n v="455049"/>
    <n v="192199"/>
    <n v="63041"/>
    <n v="199809"/>
    <n v="41"/>
    <x v="4"/>
    <s v="Wednesday"/>
    <d v="2023-02-19T00:00:00"/>
    <d v="2023-01-01T00:00:00"/>
    <x v="6"/>
    <d v="2023-02-01T00:00:00"/>
    <n v="2023"/>
  </r>
  <r>
    <x v="710"/>
    <x v="0"/>
    <x v="0"/>
    <s v="ART050"/>
    <d v="2023-10-15T00:00:00"/>
    <x v="2"/>
    <x v="6"/>
    <n v="1"/>
    <n v="46077"/>
    <n v="46077"/>
    <n v="18230"/>
    <n v="8681"/>
    <n v="19166"/>
    <n v="38"/>
    <x v="2"/>
    <s v="Sunday"/>
    <d v="2023-10-15T00:00:00"/>
    <d v="2023-10-01T00:00:00"/>
    <x v="3"/>
    <d v="2023-10-01T00:00:00"/>
    <n v="2023"/>
  </r>
  <r>
    <x v="711"/>
    <x v="4"/>
    <x v="2"/>
    <s v="ART045"/>
    <d v="2023-03-07T00:00:00"/>
    <x v="2"/>
    <x v="5"/>
    <n v="7"/>
    <n v="59756"/>
    <n v="418292"/>
    <n v="150221"/>
    <n v="53575"/>
    <n v="214496"/>
    <n v="49"/>
    <x v="1"/>
    <s v="Tuesday"/>
    <d v="2023-03-05T00:00:00"/>
    <d v="2023-01-01T00:00:00"/>
    <x v="2"/>
    <d v="2023-03-01T00:00:00"/>
    <n v="2023"/>
  </r>
  <r>
    <x v="712"/>
    <x v="3"/>
    <x v="2"/>
    <s v="ART010"/>
    <d v="2023-09-25T00:00:00"/>
    <x v="3"/>
    <x v="3"/>
    <n v="10"/>
    <n v="68056"/>
    <n v="680560"/>
    <n v="299638"/>
    <n v="81406"/>
    <n v="299516"/>
    <n v="40"/>
    <x v="0"/>
    <s v="Monday"/>
    <d v="2023-09-24T00:00:00"/>
    <d v="2023-07-01T00:00:00"/>
    <x v="9"/>
    <d v="2023-09-01T00:00:00"/>
    <n v="2023"/>
  </r>
  <r>
    <x v="713"/>
    <x v="2"/>
    <x v="1"/>
    <s v="ART040"/>
    <d v="2023-08-06T00:00:00"/>
    <x v="0"/>
    <x v="3"/>
    <n v="1"/>
    <n v="23902"/>
    <n v="23902"/>
    <n v="13590"/>
    <n v="3757"/>
    <n v="6555"/>
    <n v="13"/>
    <x v="3"/>
    <s v="Sunday"/>
    <d v="2023-08-06T00:00:00"/>
    <d v="2023-07-01T00:00:00"/>
    <x v="7"/>
    <d v="2023-08-01T00:00:00"/>
    <n v="2023"/>
  </r>
  <r>
    <x v="714"/>
    <x v="0"/>
    <x v="0"/>
    <s v="ART018"/>
    <d v="2023-02-03T00:00:00"/>
    <x v="0"/>
    <x v="2"/>
    <n v="4"/>
    <n v="65358"/>
    <n v="261432"/>
    <n v="122390"/>
    <n v="27263"/>
    <n v="111779"/>
    <n v="14"/>
    <x v="3"/>
    <s v="Friday"/>
    <d v="2023-01-29T00:00:00"/>
    <d v="2023-01-01T00:00:00"/>
    <x v="6"/>
    <d v="2023-02-01T00:00:00"/>
    <n v="2023"/>
  </r>
  <r>
    <x v="715"/>
    <x v="0"/>
    <x v="0"/>
    <s v="ART044"/>
    <d v="2023-07-22T00:00:00"/>
    <x v="3"/>
    <x v="0"/>
    <n v="6"/>
    <n v="21131"/>
    <n v="126786"/>
    <n v="74355"/>
    <n v="24335"/>
    <n v="28096"/>
    <n v="5"/>
    <x v="1"/>
    <s v="Saturday"/>
    <d v="2023-07-16T00:00:00"/>
    <d v="2023-07-01T00:00:00"/>
    <x v="0"/>
    <d v="2023-07-01T00:00:00"/>
    <n v="2023"/>
  </r>
  <r>
    <x v="716"/>
    <x v="0"/>
    <x v="0"/>
    <s v="ART024"/>
    <d v="2023-05-18T00:00:00"/>
    <x v="2"/>
    <x v="4"/>
    <n v="8"/>
    <n v="6462"/>
    <n v="51696"/>
    <n v="18432"/>
    <n v="9044"/>
    <n v="24220"/>
    <n v="29"/>
    <x v="1"/>
    <s v="Thursday"/>
    <d v="2023-05-14T00:00:00"/>
    <d v="2023-04-01T00:00:00"/>
    <x v="4"/>
    <d v="2023-05-01T00:00:00"/>
    <n v="2023"/>
  </r>
  <r>
    <x v="717"/>
    <x v="3"/>
    <x v="2"/>
    <s v="ART011"/>
    <d v="2023-07-31T00:00:00"/>
    <x v="3"/>
    <x v="4"/>
    <n v="4"/>
    <n v="8193"/>
    <n v="32772"/>
    <n v="18494"/>
    <n v="4805"/>
    <n v="9473"/>
    <n v="11"/>
    <x v="3"/>
    <s v="Monday"/>
    <d v="2023-07-30T00:00:00"/>
    <d v="2023-07-01T00:00:00"/>
    <x v="0"/>
    <d v="2023-07-01T00:00:00"/>
    <n v="2023"/>
  </r>
  <r>
    <x v="718"/>
    <x v="1"/>
    <x v="0"/>
    <s v="ART008"/>
    <d v="2023-04-19T00:00:00"/>
    <x v="1"/>
    <x v="6"/>
    <n v="10"/>
    <n v="20140"/>
    <n v="201400"/>
    <n v="99531"/>
    <n v="26920"/>
    <n v="74949"/>
    <n v="15"/>
    <x v="4"/>
    <s v="Wednesday"/>
    <d v="2023-04-16T00:00:00"/>
    <d v="2023-04-01T00:00:00"/>
    <x v="5"/>
    <d v="2023-04-01T00:00:00"/>
    <n v="2023"/>
  </r>
  <r>
    <x v="719"/>
    <x v="4"/>
    <x v="2"/>
    <s v="ART017"/>
    <d v="2023-01-28T00:00:00"/>
    <x v="1"/>
    <x v="3"/>
    <n v="5"/>
    <n v="51480"/>
    <n v="257400"/>
    <n v="105403"/>
    <n v="36477"/>
    <n v="115520"/>
    <n v="4"/>
    <x v="2"/>
    <s v="Saturday"/>
    <d v="2023-01-22T00:00:00"/>
    <d v="2023-01-01T00:00:00"/>
    <x v="8"/>
    <d v="2023-01-01T00:00:00"/>
    <n v="2023"/>
  </r>
  <r>
    <x v="720"/>
    <x v="4"/>
    <x v="2"/>
    <s v="ART002"/>
    <d v="2023-05-14T00:00:00"/>
    <x v="2"/>
    <x v="4"/>
    <n v="4"/>
    <n v="12793"/>
    <n v="51172"/>
    <n v="23035"/>
    <n v="5517"/>
    <n v="22620"/>
    <n v="18"/>
    <x v="1"/>
    <s v="Sunday"/>
    <d v="2023-05-14T00:00:00"/>
    <d v="2023-04-01T00:00:00"/>
    <x v="4"/>
    <d v="2023-05-01T00:00:00"/>
    <n v="2023"/>
  </r>
  <r>
    <x v="721"/>
    <x v="3"/>
    <x v="2"/>
    <s v="ART013"/>
    <d v="2023-10-30T00:00:00"/>
    <x v="2"/>
    <x v="0"/>
    <n v="2"/>
    <n v="9118"/>
    <n v="18236"/>
    <n v="7399"/>
    <n v="2831"/>
    <n v="8006"/>
    <n v="22"/>
    <x v="0"/>
    <s v="Monday"/>
    <d v="2023-10-29T00:00:00"/>
    <d v="2023-10-01T00:00:00"/>
    <x v="3"/>
    <d v="2023-10-01T00:00:00"/>
    <n v="2023"/>
  </r>
  <r>
    <x v="722"/>
    <x v="1"/>
    <x v="0"/>
    <s v="ART039"/>
    <d v="2023-06-19T00:00:00"/>
    <x v="0"/>
    <x v="5"/>
    <n v="3"/>
    <n v="11075"/>
    <n v="33225"/>
    <n v="14520"/>
    <n v="6474"/>
    <n v="12231"/>
    <n v="2"/>
    <x v="2"/>
    <s v="Monday"/>
    <d v="2023-06-18T00:00:00"/>
    <d v="2023-04-01T00:00:00"/>
    <x v="1"/>
    <d v="2023-06-01T00:00:00"/>
    <n v="2023"/>
  </r>
  <r>
    <x v="723"/>
    <x v="4"/>
    <x v="2"/>
    <s v="ART028"/>
    <d v="2023-10-25T00:00:00"/>
    <x v="0"/>
    <x v="4"/>
    <n v="6"/>
    <n v="30057"/>
    <n v="180342"/>
    <n v="70451"/>
    <n v="33768"/>
    <n v="76123"/>
    <n v="12"/>
    <x v="1"/>
    <s v="Wednesday"/>
    <d v="2023-10-22T00:00:00"/>
    <d v="2023-10-01T00:00:00"/>
    <x v="3"/>
    <d v="2023-10-01T00:00:00"/>
    <n v="2023"/>
  </r>
  <r>
    <x v="724"/>
    <x v="4"/>
    <x v="2"/>
    <s v="ART029"/>
    <d v="2023-09-24T00:00:00"/>
    <x v="0"/>
    <x v="2"/>
    <n v="4"/>
    <n v="7927"/>
    <n v="31708"/>
    <n v="13988"/>
    <n v="4521"/>
    <n v="13199"/>
    <n v="46"/>
    <x v="2"/>
    <s v="Sunday"/>
    <d v="2023-09-24T00:00:00"/>
    <d v="2023-07-01T00:00:00"/>
    <x v="9"/>
    <d v="2023-09-01T00:00:00"/>
    <n v="2023"/>
  </r>
  <r>
    <x v="725"/>
    <x v="1"/>
    <x v="0"/>
    <s v="ART047"/>
    <d v="2023-10-20T00:00:00"/>
    <x v="0"/>
    <x v="0"/>
    <n v="10"/>
    <n v="19265"/>
    <n v="192650"/>
    <n v="64146"/>
    <n v="22459"/>
    <n v="106045"/>
    <n v="31"/>
    <x v="2"/>
    <s v="Friday"/>
    <d v="2023-10-15T00:00:00"/>
    <d v="2023-10-01T00:00:00"/>
    <x v="3"/>
    <d v="2023-10-01T00:00:00"/>
    <n v="2023"/>
  </r>
  <r>
    <x v="726"/>
    <x v="4"/>
    <x v="2"/>
    <s v="ART032"/>
    <d v="2023-07-05T00:00:00"/>
    <x v="2"/>
    <x v="1"/>
    <n v="9"/>
    <n v="31712"/>
    <n v="285408"/>
    <n v="138234"/>
    <n v="34690"/>
    <n v="112484"/>
    <n v="8"/>
    <x v="3"/>
    <s v="Wednesday"/>
    <d v="2023-07-02T00:00:00"/>
    <d v="2023-07-01T00:00:00"/>
    <x v="0"/>
    <d v="2023-07-01T00:00:00"/>
    <n v="2023"/>
  </r>
  <r>
    <x v="727"/>
    <x v="0"/>
    <x v="0"/>
    <s v="ART015"/>
    <d v="2023-08-02T00:00:00"/>
    <x v="2"/>
    <x v="1"/>
    <n v="2"/>
    <n v="52940"/>
    <n v="105880"/>
    <n v="44191"/>
    <n v="12953"/>
    <n v="48736"/>
    <n v="27"/>
    <x v="4"/>
    <s v="Wednesday"/>
    <d v="2023-07-30T00:00:00"/>
    <d v="2023-07-01T00:00:00"/>
    <x v="7"/>
    <d v="2023-08-01T00:00:00"/>
    <n v="2023"/>
  </r>
  <r>
    <x v="728"/>
    <x v="2"/>
    <x v="1"/>
    <s v="ART008"/>
    <d v="2023-02-16T00:00:00"/>
    <x v="0"/>
    <x v="6"/>
    <n v="8"/>
    <n v="21227"/>
    <n v="169816"/>
    <n v="87831"/>
    <n v="30769"/>
    <n v="51216"/>
    <n v="8"/>
    <x v="1"/>
    <s v="Thursday"/>
    <d v="2023-02-12T00:00:00"/>
    <d v="2023-01-01T00:00:00"/>
    <x v="6"/>
    <d v="2023-02-01T00:00:00"/>
    <n v="2023"/>
  </r>
  <r>
    <x v="729"/>
    <x v="1"/>
    <x v="0"/>
    <s v="ART046"/>
    <d v="2023-04-26T00:00:00"/>
    <x v="2"/>
    <x v="4"/>
    <n v="8"/>
    <n v="62639"/>
    <n v="501112"/>
    <n v="225435"/>
    <n v="50555"/>
    <n v="225122"/>
    <n v="37"/>
    <x v="2"/>
    <s v="Wednesday"/>
    <d v="2023-04-23T00:00:00"/>
    <d v="2023-04-01T00:00:00"/>
    <x v="5"/>
    <d v="2023-04-01T00:00:00"/>
    <n v="2023"/>
  </r>
  <r>
    <x v="730"/>
    <x v="2"/>
    <x v="1"/>
    <s v="ART020"/>
    <d v="2023-06-01T00:00:00"/>
    <x v="3"/>
    <x v="1"/>
    <n v="5"/>
    <n v="42127"/>
    <n v="210635"/>
    <n v="110275"/>
    <n v="31037"/>
    <n v="69323"/>
    <n v="3"/>
    <x v="2"/>
    <s v="Thursday"/>
    <d v="2023-05-28T00:00:00"/>
    <d v="2023-04-01T00:00:00"/>
    <x v="1"/>
    <d v="2023-06-01T00:00:00"/>
    <n v="2023"/>
  </r>
  <r>
    <x v="731"/>
    <x v="3"/>
    <x v="2"/>
    <s v="ART020"/>
    <d v="2023-05-13T00:00:00"/>
    <x v="2"/>
    <x v="5"/>
    <n v="5"/>
    <n v="24905"/>
    <n v="124525"/>
    <n v="60817"/>
    <n v="24261"/>
    <n v="39447"/>
    <n v="29"/>
    <x v="3"/>
    <s v="Saturday"/>
    <d v="2023-05-07T00:00:00"/>
    <d v="2023-04-01T00:00:00"/>
    <x v="4"/>
    <d v="2023-05-01T00:00:00"/>
    <n v="2023"/>
  </r>
  <r>
    <x v="732"/>
    <x v="2"/>
    <x v="1"/>
    <s v="ART048"/>
    <d v="2023-11-16T00:00:00"/>
    <x v="3"/>
    <x v="4"/>
    <n v="3"/>
    <n v="58876"/>
    <n v="176628"/>
    <n v="65414"/>
    <n v="25768"/>
    <n v="85446"/>
    <n v="14"/>
    <x v="2"/>
    <s v="Thursday"/>
    <d v="2023-11-12T00:00:00"/>
    <d v="2023-10-01T00:00:00"/>
    <x v="10"/>
    <d v="2023-11-01T00:00:00"/>
    <n v="2023"/>
  </r>
  <r>
    <x v="733"/>
    <x v="2"/>
    <x v="1"/>
    <s v="ART038"/>
    <d v="2023-07-22T00:00:00"/>
    <x v="3"/>
    <x v="0"/>
    <n v="2"/>
    <n v="14898"/>
    <n v="29796"/>
    <n v="15190"/>
    <n v="4497"/>
    <n v="10109"/>
    <n v="24"/>
    <x v="1"/>
    <s v="Saturday"/>
    <d v="2023-07-16T00:00:00"/>
    <d v="2023-07-01T00:00:00"/>
    <x v="0"/>
    <d v="2023-07-01T00:00:00"/>
    <n v="2023"/>
  </r>
  <r>
    <x v="734"/>
    <x v="0"/>
    <x v="0"/>
    <s v="ART050"/>
    <d v="2023-05-17T00:00:00"/>
    <x v="3"/>
    <x v="5"/>
    <n v="2"/>
    <n v="52504"/>
    <n v="105008"/>
    <n v="56503"/>
    <n v="12585"/>
    <n v="35920"/>
    <n v="24"/>
    <x v="2"/>
    <s v="Wednesday"/>
    <d v="2023-05-14T00:00:00"/>
    <d v="2023-04-01T00:00:00"/>
    <x v="4"/>
    <d v="2023-05-01T00:00:00"/>
    <n v="2023"/>
  </r>
  <r>
    <x v="735"/>
    <x v="2"/>
    <x v="1"/>
    <s v="ART048"/>
    <d v="2023-09-25T00:00:00"/>
    <x v="1"/>
    <x v="6"/>
    <n v="1"/>
    <n v="45272"/>
    <n v="45272"/>
    <n v="26704"/>
    <n v="7698"/>
    <n v="10870"/>
    <n v="46"/>
    <x v="2"/>
    <s v="Monday"/>
    <d v="2023-09-24T00:00:00"/>
    <d v="2023-07-01T00:00:00"/>
    <x v="9"/>
    <d v="2023-09-01T00:00:00"/>
    <n v="2023"/>
  </r>
  <r>
    <x v="736"/>
    <x v="4"/>
    <x v="2"/>
    <s v="ART025"/>
    <d v="2023-08-04T00:00:00"/>
    <x v="3"/>
    <x v="4"/>
    <n v="1"/>
    <n v="11489"/>
    <n v="11489"/>
    <n v="6028"/>
    <n v="1980"/>
    <n v="3481"/>
    <n v="20"/>
    <x v="2"/>
    <s v="Friday"/>
    <d v="2023-07-30T00:00:00"/>
    <d v="2023-07-01T00:00:00"/>
    <x v="7"/>
    <d v="2023-08-01T00:00:00"/>
    <n v="2023"/>
  </r>
  <r>
    <x v="737"/>
    <x v="2"/>
    <x v="1"/>
    <s v="ART050"/>
    <d v="2023-07-30T00:00:00"/>
    <x v="0"/>
    <x v="3"/>
    <n v="7"/>
    <n v="11061"/>
    <n v="77427"/>
    <n v="37757"/>
    <n v="13867"/>
    <n v="25803"/>
    <n v="13"/>
    <x v="3"/>
    <s v="Sunday"/>
    <d v="2023-07-30T00:00:00"/>
    <d v="2023-07-01T00:00:00"/>
    <x v="0"/>
    <d v="2023-07-01T00:00:00"/>
    <n v="2023"/>
  </r>
  <r>
    <x v="738"/>
    <x v="4"/>
    <x v="2"/>
    <s v="ART039"/>
    <d v="2023-06-30T00:00:00"/>
    <x v="0"/>
    <x v="4"/>
    <n v="4"/>
    <n v="3094"/>
    <n v="12376"/>
    <n v="7004"/>
    <n v="2194"/>
    <n v="3178"/>
    <n v="34"/>
    <x v="1"/>
    <s v="Friday"/>
    <d v="2023-06-25T00:00:00"/>
    <d v="2023-04-01T00:00:00"/>
    <x v="1"/>
    <d v="2023-06-01T00:00:00"/>
    <n v="2023"/>
  </r>
  <r>
    <x v="739"/>
    <x v="3"/>
    <x v="2"/>
    <s v="ART027"/>
    <d v="2023-04-02T00:00:00"/>
    <x v="1"/>
    <x v="3"/>
    <n v="9"/>
    <n v="32412"/>
    <n v="291708"/>
    <n v="139949"/>
    <n v="44942"/>
    <n v="106817"/>
    <n v="32"/>
    <x v="3"/>
    <s v="Sunday"/>
    <d v="2023-04-02T00:00:00"/>
    <d v="2023-04-01T00:00:00"/>
    <x v="5"/>
    <d v="2023-04-01T00:00:00"/>
    <n v="2023"/>
  </r>
  <r>
    <x v="740"/>
    <x v="0"/>
    <x v="0"/>
    <s v="ART013"/>
    <d v="2023-09-28T00:00:00"/>
    <x v="2"/>
    <x v="0"/>
    <n v="9"/>
    <n v="69762"/>
    <n v="627858"/>
    <n v="250601"/>
    <n v="119816"/>
    <n v="257441"/>
    <n v="5"/>
    <x v="3"/>
    <s v="Thursday"/>
    <d v="2023-09-24T00:00:00"/>
    <d v="2023-07-01T00:00:00"/>
    <x v="9"/>
    <d v="2023-09-01T00:00:00"/>
    <n v="2023"/>
  </r>
  <r>
    <x v="741"/>
    <x v="0"/>
    <x v="0"/>
    <s v="ART041"/>
    <d v="2023-02-23T00:00:00"/>
    <x v="3"/>
    <x v="5"/>
    <n v="5"/>
    <n v="45566"/>
    <n v="227830"/>
    <n v="75985"/>
    <n v="40946"/>
    <n v="110899"/>
    <n v="3"/>
    <x v="1"/>
    <s v="Thursday"/>
    <d v="2023-02-19T00:00:00"/>
    <d v="2023-01-01T00:00:00"/>
    <x v="6"/>
    <d v="2023-02-01T00:00:00"/>
    <n v="2023"/>
  </r>
  <r>
    <x v="742"/>
    <x v="1"/>
    <x v="0"/>
    <s v="ART022"/>
    <d v="2023-08-28T00:00:00"/>
    <x v="2"/>
    <x v="6"/>
    <n v="4"/>
    <n v="43990"/>
    <n v="175960"/>
    <n v="75864"/>
    <n v="32199"/>
    <n v="67897"/>
    <n v="29"/>
    <x v="3"/>
    <s v="Monday"/>
    <d v="2023-08-27T00:00:00"/>
    <d v="2023-07-01T00:00:00"/>
    <x v="7"/>
    <d v="2023-08-01T00:00:00"/>
    <n v="2023"/>
  </r>
  <r>
    <x v="743"/>
    <x v="0"/>
    <x v="0"/>
    <s v="ART046"/>
    <d v="2023-03-20T00:00:00"/>
    <x v="2"/>
    <x v="4"/>
    <n v="5"/>
    <n v="62514"/>
    <n v="312570"/>
    <n v="176697"/>
    <n v="42786"/>
    <n v="93087"/>
    <n v="26"/>
    <x v="0"/>
    <s v="Monday"/>
    <d v="2023-03-19T00:00:00"/>
    <d v="2023-01-01T00:00:00"/>
    <x v="2"/>
    <d v="2023-03-01T00:00:00"/>
    <n v="2023"/>
  </r>
  <r>
    <x v="744"/>
    <x v="0"/>
    <x v="0"/>
    <s v="ART010"/>
    <d v="2023-04-20T00:00:00"/>
    <x v="3"/>
    <x v="4"/>
    <n v="10"/>
    <n v="44027"/>
    <n v="440270"/>
    <n v="191572"/>
    <n v="83273"/>
    <n v="165425"/>
    <n v="41"/>
    <x v="2"/>
    <s v="Thursday"/>
    <d v="2023-04-16T00:00:00"/>
    <d v="2023-04-01T00:00:00"/>
    <x v="5"/>
    <d v="2023-04-01T00:00:00"/>
    <n v="2023"/>
  </r>
  <r>
    <x v="745"/>
    <x v="4"/>
    <x v="2"/>
    <s v="ART046"/>
    <d v="2023-06-05T00:00:00"/>
    <x v="0"/>
    <x v="0"/>
    <n v="5"/>
    <n v="17866"/>
    <n v="89330"/>
    <n v="38880"/>
    <n v="10632"/>
    <n v="39818"/>
    <n v="17"/>
    <x v="1"/>
    <s v="Monday"/>
    <d v="2023-06-04T00:00:00"/>
    <d v="2023-04-01T00:00:00"/>
    <x v="1"/>
    <d v="2023-06-01T00:00:00"/>
    <n v="2023"/>
  </r>
  <r>
    <x v="746"/>
    <x v="1"/>
    <x v="0"/>
    <s v="ART045"/>
    <d v="2023-01-12T00:00:00"/>
    <x v="1"/>
    <x v="0"/>
    <n v="2"/>
    <n v="68348"/>
    <n v="136696"/>
    <n v="50510"/>
    <n v="21710"/>
    <n v="64476"/>
    <n v="12"/>
    <x v="2"/>
    <s v="Thursday"/>
    <d v="2023-01-08T00:00:00"/>
    <d v="2023-01-01T00:00:00"/>
    <x v="8"/>
    <d v="2023-01-01T00:00:00"/>
    <n v="2023"/>
  </r>
  <r>
    <x v="747"/>
    <x v="2"/>
    <x v="1"/>
    <s v="ART023"/>
    <d v="2023-06-28T00:00:00"/>
    <x v="1"/>
    <x v="2"/>
    <n v="8"/>
    <n v="53309"/>
    <n v="426472"/>
    <n v="254617"/>
    <n v="70885"/>
    <n v="100970"/>
    <n v="14"/>
    <x v="0"/>
    <s v="Wednesday"/>
    <d v="2023-06-25T00:00:00"/>
    <d v="2023-04-01T00:00:00"/>
    <x v="1"/>
    <d v="2023-06-01T00:00:00"/>
    <n v="2023"/>
  </r>
  <r>
    <x v="748"/>
    <x v="2"/>
    <x v="1"/>
    <s v="ART032"/>
    <d v="2023-09-08T00:00:00"/>
    <x v="2"/>
    <x v="5"/>
    <n v="3"/>
    <n v="15449"/>
    <n v="46347"/>
    <n v="14285"/>
    <n v="4699"/>
    <n v="27363"/>
    <n v="26"/>
    <x v="2"/>
    <s v="Friday"/>
    <d v="2023-09-03T00:00:00"/>
    <d v="2023-07-01T00:00:00"/>
    <x v="9"/>
    <d v="2023-09-01T00:00:00"/>
    <n v="2023"/>
  </r>
  <r>
    <x v="749"/>
    <x v="4"/>
    <x v="2"/>
    <s v="ART033"/>
    <d v="2023-10-14T00:00:00"/>
    <x v="2"/>
    <x v="1"/>
    <n v="7"/>
    <n v="68539"/>
    <n v="479773"/>
    <n v="179796"/>
    <n v="92853"/>
    <n v="207124"/>
    <n v="4"/>
    <x v="3"/>
    <s v="Saturday"/>
    <d v="2023-10-08T00:00:00"/>
    <d v="2023-10-01T00:00:00"/>
    <x v="3"/>
    <d v="2023-10-01T00:00:00"/>
    <n v="2023"/>
  </r>
  <r>
    <x v="750"/>
    <x v="4"/>
    <x v="2"/>
    <s v="ART035"/>
    <d v="2023-02-25T00:00:00"/>
    <x v="1"/>
    <x v="6"/>
    <n v="10"/>
    <n v="5103"/>
    <n v="51030"/>
    <n v="26954"/>
    <n v="6447"/>
    <n v="17629"/>
    <n v="42"/>
    <x v="2"/>
    <s v="Saturday"/>
    <d v="2023-02-19T00:00:00"/>
    <d v="2023-01-01T00:00:00"/>
    <x v="6"/>
    <d v="2023-02-01T00:00:00"/>
    <n v="2023"/>
  </r>
  <r>
    <x v="751"/>
    <x v="0"/>
    <x v="0"/>
    <s v="ART001"/>
    <d v="2023-01-05T00:00:00"/>
    <x v="0"/>
    <x v="4"/>
    <n v="1"/>
    <n v="3091"/>
    <n v="3091"/>
    <n v="1659"/>
    <n v="423"/>
    <n v="1009"/>
    <n v="26"/>
    <x v="0"/>
    <s v="Thursday"/>
    <d v="2023-01-01T00:00:00"/>
    <d v="2023-01-01T00:00:00"/>
    <x v="8"/>
    <d v="2023-01-01T00:00:00"/>
    <n v="2023"/>
  </r>
  <r>
    <x v="752"/>
    <x v="0"/>
    <x v="0"/>
    <s v="ART048"/>
    <d v="2023-10-24T00:00:00"/>
    <x v="2"/>
    <x v="2"/>
    <n v="1"/>
    <n v="44534"/>
    <n v="44534"/>
    <n v="21946"/>
    <n v="8229"/>
    <n v="14359"/>
    <n v="0"/>
    <x v="4"/>
    <s v="Tuesday"/>
    <d v="2023-10-22T00:00:00"/>
    <d v="2023-10-01T00:00:00"/>
    <x v="3"/>
    <d v="2023-10-01T00:00:00"/>
    <n v="2023"/>
  </r>
  <r>
    <x v="753"/>
    <x v="2"/>
    <x v="1"/>
    <s v="ART035"/>
    <d v="2023-06-03T00:00:00"/>
    <x v="2"/>
    <x v="6"/>
    <n v="8"/>
    <n v="33779"/>
    <n v="270232"/>
    <n v="139385"/>
    <n v="36252"/>
    <n v="94595"/>
    <n v="1"/>
    <x v="4"/>
    <s v="Saturday"/>
    <d v="2023-05-28T00:00:00"/>
    <d v="2023-04-01T00:00:00"/>
    <x v="1"/>
    <d v="2023-06-01T00:00:00"/>
    <n v="2023"/>
  </r>
  <r>
    <x v="754"/>
    <x v="4"/>
    <x v="2"/>
    <s v="ART040"/>
    <d v="2023-11-14T00:00:00"/>
    <x v="1"/>
    <x v="4"/>
    <n v="9"/>
    <n v="6623"/>
    <n v="59607"/>
    <n v="29673"/>
    <n v="9329"/>
    <n v="20605"/>
    <n v="45"/>
    <x v="1"/>
    <s v="Tuesday"/>
    <d v="2023-11-12T00:00:00"/>
    <d v="2023-10-01T00:00:00"/>
    <x v="10"/>
    <d v="2023-11-01T00:00:00"/>
    <n v="2023"/>
  </r>
  <r>
    <x v="755"/>
    <x v="2"/>
    <x v="1"/>
    <s v="ART013"/>
    <d v="2023-07-31T00:00:00"/>
    <x v="0"/>
    <x v="0"/>
    <n v="10"/>
    <n v="31652"/>
    <n v="316520"/>
    <n v="133925"/>
    <n v="34849"/>
    <n v="147746"/>
    <n v="13"/>
    <x v="0"/>
    <s v="Monday"/>
    <d v="2023-07-30T00:00:00"/>
    <d v="2023-07-01T00:00:00"/>
    <x v="0"/>
    <d v="2023-07-01T00:00:00"/>
    <n v="2023"/>
  </r>
  <r>
    <x v="756"/>
    <x v="4"/>
    <x v="2"/>
    <s v="ART026"/>
    <d v="2023-02-25T00:00:00"/>
    <x v="1"/>
    <x v="0"/>
    <n v="8"/>
    <n v="67203"/>
    <n v="537624"/>
    <n v="228440"/>
    <n v="75486"/>
    <n v="233698"/>
    <n v="12"/>
    <x v="2"/>
    <s v="Saturday"/>
    <d v="2023-02-19T00:00:00"/>
    <d v="2023-01-01T00:00:00"/>
    <x v="6"/>
    <d v="2023-02-01T00:00:00"/>
    <n v="2023"/>
  </r>
  <r>
    <x v="757"/>
    <x v="0"/>
    <x v="0"/>
    <s v="ART014"/>
    <d v="2023-03-11T00:00:00"/>
    <x v="1"/>
    <x v="6"/>
    <n v="10"/>
    <n v="31555"/>
    <n v="315550"/>
    <n v="125022"/>
    <n v="48537"/>
    <n v="141991"/>
    <n v="15"/>
    <x v="0"/>
    <s v="Saturday"/>
    <d v="2023-03-05T00:00:00"/>
    <d v="2023-01-01T00:00:00"/>
    <x v="2"/>
    <d v="2023-03-01T00:00:00"/>
    <n v="2023"/>
  </r>
  <r>
    <x v="758"/>
    <x v="4"/>
    <x v="2"/>
    <s v="ART004"/>
    <d v="2023-03-12T00:00:00"/>
    <x v="3"/>
    <x v="5"/>
    <n v="2"/>
    <n v="39246"/>
    <n v="78492"/>
    <n v="33881"/>
    <n v="15073"/>
    <n v="29538"/>
    <n v="14"/>
    <x v="0"/>
    <s v="Sunday"/>
    <d v="2023-03-12T00:00:00"/>
    <d v="2023-01-01T00:00:00"/>
    <x v="2"/>
    <d v="2023-03-01T00:00:00"/>
    <n v="2023"/>
  </r>
  <r>
    <x v="759"/>
    <x v="2"/>
    <x v="1"/>
    <s v="ART042"/>
    <d v="2023-08-29T00:00:00"/>
    <x v="1"/>
    <x v="3"/>
    <n v="6"/>
    <n v="24200"/>
    <n v="145200"/>
    <n v="67768"/>
    <n v="18434"/>
    <n v="58998"/>
    <n v="43"/>
    <x v="4"/>
    <s v="Tuesday"/>
    <d v="2023-08-27T00:00:00"/>
    <d v="2023-07-01T00:00:00"/>
    <x v="7"/>
    <d v="2023-08-01T00:00:00"/>
    <n v="2023"/>
  </r>
  <r>
    <x v="760"/>
    <x v="1"/>
    <x v="0"/>
    <s v="ART036"/>
    <d v="2023-05-31T00:00:00"/>
    <x v="3"/>
    <x v="3"/>
    <n v="8"/>
    <n v="51534"/>
    <n v="412272"/>
    <n v="163283"/>
    <n v="62588"/>
    <n v="186401"/>
    <n v="15"/>
    <x v="4"/>
    <s v="Wednesday"/>
    <d v="2023-05-28T00:00:00"/>
    <d v="2023-04-01T00:00:00"/>
    <x v="4"/>
    <d v="2023-05-01T00:00:00"/>
    <n v="2023"/>
  </r>
  <r>
    <x v="761"/>
    <x v="4"/>
    <x v="2"/>
    <s v="ART009"/>
    <d v="2023-07-20T00:00:00"/>
    <x v="2"/>
    <x v="6"/>
    <n v="1"/>
    <n v="66974"/>
    <n v="66974"/>
    <n v="30195"/>
    <n v="11131"/>
    <n v="25648"/>
    <n v="26"/>
    <x v="0"/>
    <s v="Thursday"/>
    <d v="2023-07-16T00:00:00"/>
    <d v="2023-07-01T00:00:00"/>
    <x v="0"/>
    <d v="2023-07-01T00:00:00"/>
    <n v="2023"/>
  </r>
  <r>
    <x v="762"/>
    <x v="0"/>
    <x v="0"/>
    <s v="ART036"/>
    <d v="2023-03-23T00:00:00"/>
    <x v="2"/>
    <x v="3"/>
    <n v="1"/>
    <n v="49513"/>
    <n v="49513"/>
    <n v="21127"/>
    <n v="9150"/>
    <n v="19236"/>
    <n v="13"/>
    <x v="4"/>
    <s v="Thursday"/>
    <d v="2023-03-19T00:00:00"/>
    <d v="2023-01-01T00:00:00"/>
    <x v="2"/>
    <d v="2023-03-01T00:00:00"/>
    <n v="2023"/>
  </r>
  <r>
    <x v="763"/>
    <x v="2"/>
    <x v="1"/>
    <s v="ART049"/>
    <d v="2023-11-09T00:00:00"/>
    <x v="0"/>
    <x v="6"/>
    <n v="6"/>
    <n v="61046"/>
    <n v="366276"/>
    <n v="193297"/>
    <n v="63664"/>
    <n v="109315"/>
    <n v="12"/>
    <x v="3"/>
    <s v="Thursday"/>
    <d v="2023-11-05T00:00:00"/>
    <d v="2023-10-01T00:00:00"/>
    <x v="10"/>
    <d v="2023-11-01T00:00:00"/>
    <n v="2023"/>
  </r>
  <r>
    <x v="764"/>
    <x v="0"/>
    <x v="0"/>
    <s v="ART040"/>
    <d v="2023-02-23T00:00:00"/>
    <x v="0"/>
    <x v="1"/>
    <n v="8"/>
    <n v="5186"/>
    <n v="41488"/>
    <n v="24756"/>
    <n v="5334"/>
    <n v="11398"/>
    <n v="13"/>
    <x v="4"/>
    <s v="Thursday"/>
    <d v="2023-02-19T00:00:00"/>
    <d v="2023-01-01T00:00:00"/>
    <x v="6"/>
    <d v="2023-02-01T00:00:00"/>
    <n v="2023"/>
  </r>
  <r>
    <x v="765"/>
    <x v="2"/>
    <x v="1"/>
    <s v="ART014"/>
    <d v="2023-03-08T00:00:00"/>
    <x v="2"/>
    <x v="2"/>
    <n v="6"/>
    <n v="4949"/>
    <n v="29694"/>
    <n v="14156"/>
    <n v="4027"/>
    <n v="11511"/>
    <n v="18"/>
    <x v="4"/>
    <s v="Wednesday"/>
    <d v="2023-03-05T00:00:00"/>
    <d v="2023-01-01T00:00:00"/>
    <x v="2"/>
    <d v="2023-03-01T00:00:00"/>
    <n v="2023"/>
  </r>
  <r>
    <x v="766"/>
    <x v="3"/>
    <x v="2"/>
    <s v="ART043"/>
    <d v="2023-09-17T00:00:00"/>
    <x v="2"/>
    <x v="0"/>
    <n v="2"/>
    <n v="64015"/>
    <n v="128030"/>
    <n v="51901"/>
    <n v="16225"/>
    <n v="59904"/>
    <n v="19"/>
    <x v="3"/>
    <s v="Sunday"/>
    <d v="2023-09-17T00:00:00"/>
    <d v="2023-07-01T00:00:00"/>
    <x v="9"/>
    <d v="2023-09-01T00:00:00"/>
    <n v="2023"/>
  </r>
  <r>
    <x v="767"/>
    <x v="3"/>
    <x v="2"/>
    <s v="ART019"/>
    <d v="2023-11-11T00:00:00"/>
    <x v="2"/>
    <x v="1"/>
    <n v="6"/>
    <n v="64265"/>
    <n v="385590"/>
    <n v="140134"/>
    <n v="47401"/>
    <n v="198055"/>
    <n v="18"/>
    <x v="0"/>
    <s v="Saturday"/>
    <d v="2023-11-05T00:00:00"/>
    <d v="2023-10-01T00:00:00"/>
    <x v="10"/>
    <d v="2023-11-01T00:00:00"/>
    <n v="2023"/>
  </r>
  <r>
    <x v="768"/>
    <x v="4"/>
    <x v="2"/>
    <s v="ART019"/>
    <d v="2023-03-24T00:00:00"/>
    <x v="1"/>
    <x v="0"/>
    <n v="10"/>
    <n v="35636"/>
    <n v="356360"/>
    <n v="190419"/>
    <n v="57217"/>
    <n v="108724"/>
    <n v="22"/>
    <x v="1"/>
    <s v="Friday"/>
    <d v="2023-03-19T00:00:00"/>
    <d v="2023-01-01T00:00:00"/>
    <x v="2"/>
    <d v="2023-03-01T00:00:00"/>
    <n v="2023"/>
  </r>
  <r>
    <x v="769"/>
    <x v="3"/>
    <x v="2"/>
    <s v="ART037"/>
    <d v="2023-10-28T00:00:00"/>
    <x v="2"/>
    <x v="4"/>
    <n v="10"/>
    <n v="32587"/>
    <n v="325870"/>
    <n v="141467"/>
    <n v="54298"/>
    <n v="130105"/>
    <n v="32"/>
    <x v="4"/>
    <s v="Saturday"/>
    <d v="2023-10-22T00:00:00"/>
    <d v="2023-10-01T00:00:00"/>
    <x v="3"/>
    <d v="2023-10-01T00:00:00"/>
    <n v="2023"/>
  </r>
  <r>
    <x v="770"/>
    <x v="0"/>
    <x v="0"/>
    <s v="ART020"/>
    <d v="2023-06-26T00:00:00"/>
    <x v="1"/>
    <x v="0"/>
    <n v="1"/>
    <n v="48736"/>
    <n v="48736"/>
    <n v="21364"/>
    <n v="8211"/>
    <n v="19161"/>
    <n v="33"/>
    <x v="2"/>
    <s v="Monday"/>
    <d v="2023-06-25T00:00:00"/>
    <d v="2023-04-01T00:00:00"/>
    <x v="1"/>
    <d v="2023-06-01T00:00:00"/>
    <n v="2023"/>
  </r>
  <r>
    <x v="771"/>
    <x v="1"/>
    <x v="0"/>
    <s v="ART017"/>
    <d v="2023-08-30T00:00:00"/>
    <x v="1"/>
    <x v="0"/>
    <n v="3"/>
    <n v="43193"/>
    <n v="129579"/>
    <n v="41973"/>
    <n v="15186"/>
    <n v="72420"/>
    <n v="38"/>
    <x v="4"/>
    <s v="Wednesday"/>
    <d v="2023-08-27T00:00:00"/>
    <d v="2023-07-01T00:00:00"/>
    <x v="7"/>
    <d v="2023-08-01T00:00:00"/>
    <n v="2023"/>
  </r>
  <r>
    <x v="772"/>
    <x v="2"/>
    <x v="1"/>
    <s v="ART019"/>
    <d v="2023-10-18T00:00:00"/>
    <x v="3"/>
    <x v="4"/>
    <n v="5"/>
    <n v="2877"/>
    <n v="14385"/>
    <n v="5175"/>
    <n v="2442"/>
    <n v="6768"/>
    <n v="44"/>
    <x v="4"/>
    <s v="Wednesday"/>
    <d v="2023-10-15T00:00:00"/>
    <d v="2023-10-01T00:00:00"/>
    <x v="3"/>
    <d v="2023-10-01T00:00:00"/>
    <n v="2023"/>
  </r>
  <r>
    <x v="773"/>
    <x v="3"/>
    <x v="2"/>
    <s v="ART046"/>
    <d v="2023-08-12T00:00:00"/>
    <x v="1"/>
    <x v="2"/>
    <n v="5"/>
    <n v="34563"/>
    <n v="172815"/>
    <n v="68068"/>
    <n v="28589"/>
    <n v="76158"/>
    <n v="41"/>
    <x v="1"/>
    <s v="Saturday"/>
    <d v="2023-08-06T00:00:00"/>
    <d v="2023-07-01T00:00:00"/>
    <x v="7"/>
    <d v="2023-08-01T00:00:00"/>
    <n v="2023"/>
  </r>
  <r>
    <x v="774"/>
    <x v="0"/>
    <x v="0"/>
    <s v="ART022"/>
    <d v="2023-06-02T00:00:00"/>
    <x v="1"/>
    <x v="1"/>
    <n v="7"/>
    <n v="58657"/>
    <n v="410599"/>
    <n v="217950"/>
    <n v="72399"/>
    <n v="120250"/>
    <n v="43"/>
    <x v="3"/>
    <s v="Friday"/>
    <d v="2023-05-28T00:00:00"/>
    <d v="2023-04-01T00:00:00"/>
    <x v="1"/>
    <d v="2023-06-01T00:00:00"/>
    <n v="2023"/>
  </r>
  <r>
    <x v="775"/>
    <x v="1"/>
    <x v="0"/>
    <s v="ART035"/>
    <d v="2023-06-12T00:00:00"/>
    <x v="0"/>
    <x v="3"/>
    <n v="3"/>
    <n v="22379"/>
    <n v="67137"/>
    <n v="29963"/>
    <n v="8995"/>
    <n v="28179"/>
    <n v="13"/>
    <x v="3"/>
    <s v="Monday"/>
    <d v="2023-06-11T00:00:00"/>
    <d v="2023-04-01T00:00:00"/>
    <x v="1"/>
    <d v="2023-06-01T00:00:00"/>
    <n v="2023"/>
  </r>
  <r>
    <x v="776"/>
    <x v="0"/>
    <x v="0"/>
    <s v="ART027"/>
    <d v="2023-05-04T00:00:00"/>
    <x v="2"/>
    <x v="5"/>
    <n v="1"/>
    <n v="27329"/>
    <n v="27329"/>
    <n v="14307"/>
    <n v="3877"/>
    <n v="9145"/>
    <n v="1"/>
    <x v="2"/>
    <s v="Thursday"/>
    <d v="2023-04-30T00:00:00"/>
    <d v="2023-04-01T00:00:00"/>
    <x v="4"/>
    <d v="2023-05-01T00:00:00"/>
    <n v="2023"/>
  </r>
  <r>
    <x v="777"/>
    <x v="3"/>
    <x v="2"/>
    <s v="ART040"/>
    <d v="2023-10-11T00:00:00"/>
    <x v="0"/>
    <x v="5"/>
    <n v="3"/>
    <n v="27040"/>
    <n v="81120"/>
    <n v="44488"/>
    <n v="11040"/>
    <n v="25592"/>
    <n v="24"/>
    <x v="3"/>
    <s v="Wednesday"/>
    <d v="2023-10-08T00:00:00"/>
    <d v="2023-10-01T00:00:00"/>
    <x v="3"/>
    <d v="2023-10-01T00:00:00"/>
    <n v="2023"/>
  </r>
  <r>
    <x v="778"/>
    <x v="2"/>
    <x v="1"/>
    <s v="ART014"/>
    <d v="2023-10-05T00:00:00"/>
    <x v="3"/>
    <x v="4"/>
    <n v="4"/>
    <n v="28939"/>
    <n v="115756"/>
    <n v="68010"/>
    <n v="19232"/>
    <n v="28514"/>
    <n v="46"/>
    <x v="1"/>
    <s v="Thursday"/>
    <d v="2023-10-01T00:00:00"/>
    <d v="2023-10-01T00:00:00"/>
    <x v="3"/>
    <d v="2023-10-01T00:00:00"/>
    <n v="2023"/>
  </r>
  <r>
    <x v="779"/>
    <x v="0"/>
    <x v="0"/>
    <s v="ART012"/>
    <d v="2023-09-16T00:00:00"/>
    <x v="3"/>
    <x v="5"/>
    <n v="9"/>
    <n v="64236"/>
    <n v="578124"/>
    <n v="177030"/>
    <n v="77175"/>
    <n v="323919"/>
    <n v="16"/>
    <x v="4"/>
    <s v="Saturday"/>
    <d v="2023-09-10T00:00:00"/>
    <d v="2023-07-01T00:00:00"/>
    <x v="9"/>
    <d v="2023-09-01T00:00:00"/>
    <n v="2023"/>
  </r>
  <r>
    <x v="780"/>
    <x v="4"/>
    <x v="2"/>
    <s v="ART003"/>
    <d v="2023-02-01T00:00:00"/>
    <x v="1"/>
    <x v="2"/>
    <n v="1"/>
    <n v="52386"/>
    <n v="52386"/>
    <n v="17427"/>
    <n v="6501"/>
    <n v="28458"/>
    <n v="24"/>
    <x v="3"/>
    <s v="Wednesday"/>
    <d v="2023-01-29T00:00:00"/>
    <d v="2023-01-01T00:00:00"/>
    <x v="6"/>
    <d v="2023-02-01T00:00:00"/>
    <n v="2023"/>
  </r>
  <r>
    <x v="781"/>
    <x v="1"/>
    <x v="0"/>
    <s v="ART019"/>
    <d v="2023-06-19T00:00:00"/>
    <x v="3"/>
    <x v="2"/>
    <n v="3"/>
    <n v="55349"/>
    <n v="166047"/>
    <n v="89553"/>
    <n v="28396"/>
    <n v="48098"/>
    <n v="47"/>
    <x v="2"/>
    <s v="Monday"/>
    <d v="2023-06-18T00:00:00"/>
    <d v="2023-04-01T00:00:00"/>
    <x v="1"/>
    <d v="2023-06-01T00:00:00"/>
    <n v="2023"/>
  </r>
  <r>
    <x v="782"/>
    <x v="0"/>
    <x v="0"/>
    <s v="ART019"/>
    <d v="2023-11-17T00:00:00"/>
    <x v="0"/>
    <x v="5"/>
    <n v="3"/>
    <n v="65457"/>
    <n v="196371"/>
    <n v="101752"/>
    <n v="39259"/>
    <n v="55360"/>
    <n v="37"/>
    <x v="0"/>
    <s v="Friday"/>
    <d v="2023-11-12T00:00:00"/>
    <d v="2023-10-01T00:00:00"/>
    <x v="10"/>
    <d v="2023-11-01T00:00:00"/>
    <n v="2023"/>
  </r>
  <r>
    <x v="783"/>
    <x v="1"/>
    <x v="0"/>
    <s v="ART045"/>
    <d v="2023-10-12T00:00:00"/>
    <x v="1"/>
    <x v="4"/>
    <n v="8"/>
    <n v="45461"/>
    <n v="363688"/>
    <n v="198087"/>
    <n v="72098"/>
    <n v="93503"/>
    <n v="38"/>
    <x v="0"/>
    <s v="Thursday"/>
    <d v="2023-10-08T00:00:00"/>
    <d v="2023-10-01T00:00:00"/>
    <x v="3"/>
    <d v="2023-10-01T00:00:00"/>
    <n v="2023"/>
  </r>
  <r>
    <x v="784"/>
    <x v="2"/>
    <x v="1"/>
    <s v="ART049"/>
    <d v="2023-01-22T00:00:00"/>
    <x v="2"/>
    <x v="3"/>
    <n v="9"/>
    <n v="61785"/>
    <n v="556065"/>
    <n v="304464"/>
    <n v="79131"/>
    <n v="172470"/>
    <n v="27"/>
    <x v="0"/>
    <s v="Sunday"/>
    <d v="2023-01-22T00:00:00"/>
    <d v="2023-01-01T00:00:00"/>
    <x v="8"/>
    <d v="2023-01-01T00:00:00"/>
    <n v="2023"/>
  </r>
  <r>
    <x v="785"/>
    <x v="2"/>
    <x v="1"/>
    <s v="ART029"/>
    <d v="2023-09-17T00:00:00"/>
    <x v="2"/>
    <x v="2"/>
    <n v="5"/>
    <n v="26621"/>
    <n v="133105"/>
    <n v="40578"/>
    <n v="21734"/>
    <n v="70793"/>
    <n v="45"/>
    <x v="1"/>
    <s v="Sunday"/>
    <d v="2023-09-17T00:00:00"/>
    <d v="2023-07-01T00:00:00"/>
    <x v="9"/>
    <d v="2023-09-01T00:00:00"/>
    <n v="2023"/>
  </r>
  <r>
    <x v="786"/>
    <x v="0"/>
    <x v="0"/>
    <s v="ART007"/>
    <d v="2023-10-12T00:00:00"/>
    <x v="2"/>
    <x v="0"/>
    <n v="4"/>
    <n v="15486"/>
    <n v="61944"/>
    <n v="20315"/>
    <n v="9248"/>
    <n v="32381"/>
    <n v="40"/>
    <x v="3"/>
    <s v="Thursday"/>
    <d v="2023-10-08T00:00:00"/>
    <d v="2023-10-01T00:00:00"/>
    <x v="3"/>
    <d v="2023-10-01T00:00:00"/>
    <n v="2023"/>
  </r>
  <r>
    <x v="787"/>
    <x v="2"/>
    <x v="1"/>
    <s v="ART050"/>
    <d v="2023-05-08T00:00:00"/>
    <x v="0"/>
    <x v="4"/>
    <n v="1"/>
    <n v="53313"/>
    <n v="53313"/>
    <n v="17851"/>
    <n v="8597"/>
    <n v="26865"/>
    <n v="40"/>
    <x v="3"/>
    <s v="Monday"/>
    <d v="2023-05-07T00:00:00"/>
    <d v="2023-04-01T00:00:00"/>
    <x v="4"/>
    <d v="2023-05-01T00:00:00"/>
    <n v="2023"/>
  </r>
  <r>
    <x v="788"/>
    <x v="3"/>
    <x v="2"/>
    <s v="ART016"/>
    <d v="2023-01-05T00:00:00"/>
    <x v="3"/>
    <x v="6"/>
    <n v="10"/>
    <n v="35351"/>
    <n v="353510"/>
    <n v="114613"/>
    <n v="52947"/>
    <n v="185950"/>
    <n v="42"/>
    <x v="0"/>
    <s v="Thursday"/>
    <d v="2023-01-01T00:00:00"/>
    <d v="2023-01-01T00:00:00"/>
    <x v="8"/>
    <d v="2023-01-01T00:00:00"/>
    <n v="2023"/>
  </r>
  <r>
    <x v="789"/>
    <x v="0"/>
    <x v="0"/>
    <s v="ART006"/>
    <d v="2023-10-07T00:00:00"/>
    <x v="0"/>
    <x v="0"/>
    <n v="1"/>
    <n v="57811"/>
    <n v="57811"/>
    <n v="19681"/>
    <n v="6775"/>
    <n v="31355"/>
    <n v="24"/>
    <x v="3"/>
    <s v="Saturday"/>
    <d v="2023-10-01T00:00:00"/>
    <d v="2023-10-01T00:00:00"/>
    <x v="3"/>
    <d v="2023-10-01T00:00:00"/>
    <n v="2023"/>
  </r>
  <r>
    <x v="790"/>
    <x v="2"/>
    <x v="1"/>
    <s v="ART039"/>
    <d v="2023-03-10T00:00:00"/>
    <x v="0"/>
    <x v="3"/>
    <n v="4"/>
    <n v="24707"/>
    <n v="98828"/>
    <n v="53225"/>
    <n v="15664"/>
    <n v="29939"/>
    <n v="1"/>
    <x v="1"/>
    <s v="Friday"/>
    <d v="2023-03-05T00:00:00"/>
    <d v="2023-01-01T00:00:00"/>
    <x v="2"/>
    <d v="2023-03-01T00:00:00"/>
    <n v="2023"/>
  </r>
  <r>
    <x v="791"/>
    <x v="4"/>
    <x v="2"/>
    <s v="ART031"/>
    <d v="2023-09-10T00:00:00"/>
    <x v="2"/>
    <x v="2"/>
    <n v="6"/>
    <n v="48640"/>
    <n v="291840"/>
    <n v="144235"/>
    <n v="44174"/>
    <n v="103431"/>
    <n v="41"/>
    <x v="0"/>
    <s v="Sunday"/>
    <d v="2023-09-10T00:00:00"/>
    <d v="2023-07-01T00:00:00"/>
    <x v="9"/>
    <d v="2023-09-01T00:00:00"/>
    <n v="2023"/>
  </r>
  <r>
    <x v="792"/>
    <x v="3"/>
    <x v="2"/>
    <s v="ART001"/>
    <d v="2023-09-25T00:00:00"/>
    <x v="2"/>
    <x v="2"/>
    <n v="7"/>
    <n v="14517"/>
    <n v="101619"/>
    <n v="48056"/>
    <n v="15697"/>
    <n v="37866"/>
    <n v="42"/>
    <x v="3"/>
    <s v="Monday"/>
    <d v="2023-09-24T00:00:00"/>
    <d v="2023-07-01T00:00:00"/>
    <x v="9"/>
    <d v="2023-09-01T00:00:00"/>
    <n v="2023"/>
  </r>
  <r>
    <x v="793"/>
    <x v="4"/>
    <x v="2"/>
    <s v="ART031"/>
    <d v="2023-08-16T00:00:00"/>
    <x v="3"/>
    <x v="5"/>
    <n v="3"/>
    <n v="56334"/>
    <n v="169002"/>
    <n v="70221"/>
    <n v="32882"/>
    <n v="65899"/>
    <n v="15"/>
    <x v="4"/>
    <s v="Wednesday"/>
    <d v="2023-08-13T00:00:00"/>
    <d v="2023-07-01T00:00:00"/>
    <x v="7"/>
    <d v="2023-08-01T00:00:00"/>
    <n v="2023"/>
  </r>
  <r>
    <x v="794"/>
    <x v="1"/>
    <x v="0"/>
    <s v="ART018"/>
    <d v="2023-02-11T00:00:00"/>
    <x v="3"/>
    <x v="0"/>
    <n v="9"/>
    <n v="11565"/>
    <n v="104085"/>
    <n v="34509"/>
    <n v="11601"/>
    <n v="57975"/>
    <n v="33"/>
    <x v="0"/>
    <s v="Saturday"/>
    <d v="2023-02-05T00:00:00"/>
    <d v="2023-01-01T00:00:00"/>
    <x v="6"/>
    <d v="2023-02-01T00:00:00"/>
    <n v="2023"/>
  </r>
  <r>
    <x v="795"/>
    <x v="1"/>
    <x v="0"/>
    <s v="ART029"/>
    <d v="2023-07-10T00:00:00"/>
    <x v="1"/>
    <x v="1"/>
    <n v="7"/>
    <n v="54220"/>
    <n v="379540"/>
    <n v="178017"/>
    <n v="67603"/>
    <n v="133920"/>
    <n v="2"/>
    <x v="3"/>
    <s v="Monday"/>
    <d v="2023-07-09T00:00:00"/>
    <d v="2023-07-01T00:00:00"/>
    <x v="0"/>
    <d v="2023-07-01T00:00:00"/>
    <n v="2023"/>
  </r>
  <r>
    <x v="796"/>
    <x v="2"/>
    <x v="1"/>
    <s v="ART040"/>
    <d v="2023-08-29T00:00:00"/>
    <x v="2"/>
    <x v="2"/>
    <n v="7"/>
    <n v="56854"/>
    <n v="397978"/>
    <n v="143159"/>
    <n v="58081"/>
    <n v="196738"/>
    <n v="30"/>
    <x v="3"/>
    <s v="Tuesday"/>
    <d v="2023-08-27T00:00:00"/>
    <d v="2023-07-01T00:00:00"/>
    <x v="7"/>
    <d v="2023-08-01T00:00:00"/>
    <n v="2023"/>
  </r>
  <r>
    <x v="797"/>
    <x v="3"/>
    <x v="2"/>
    <s v="ART047"/>
    <d v="2023-10-29T00:00:00"/>
    <x v="1"/>
    <x v="4"/>
    <n v="4"/>
    <n v="18710"/>
    <n v="74840"/>
    <n v="32557"/>
    <n v="10761"/>
    <n v="31522"/>
    <n v="5"/>
    <x v="1"/>
    <s v="Sunday"/>
    <d v="2023-10-29T00:00:00"/>
    <d v="2023-10-01T00:00:00"/>
    <x v="3"/>
    <d v="2023-10-01T00:00:00"/>
    <n v="2023"/>
  </r>
  <r>
    <x v="798"/>
    <x v="1"/>
    <x v="0"/>
    <s v="ART023"/>
    <d v="2023-07-11T00:00:00"/>
    <x v="1"/>
    <x v="2"/>
    <n v="7"/>
    <n v="63306"/>
    <n v="443142"/>
    <n v="264891"/>
    <n v="70389"/>
    <n v="107862"/>
    <n v="37"/>
    <x v="2"/>
    <s v="Tuesday"/>
    <d v="2023-07-09T00:00:00"/>
    <d v="2023-07-01T00:00:00"/>
    <x v="0"/>
    <d v="2023-07-01T00:00:00"/>
    <n v="2023"/>
  </r>
  <r>
    <x v="799"/>
    <x v="0"/>
    <x v="0"/>
    <s v="ART037"/>
    <d v="2023-04-18T00:00:00"/>
    <x v="1"/>
    <x v="0"/>
    <n v="9"/>
    <n v="40484"/>
    <n v="364356"/>
    <n v="176755"/>
    <n v="55567"/>
    <n v="132034"/>
    <n v="29"/>
    <x v="2"/>
    <s v="Tuesday"/>
    <d v="2023-04-16T00:00:00"/>
    <d v="2023-04-01T00:00:00"/>
    <x v="5"/>
    <d v="2023-04-01T00:00:00"/>
    <n v="2023"/>
  </r>
  <r>
    <x v="800"/>
    <x v="1"/>
    <x v="0"/>
    <s v="ART017"/>
    <d v="2023-05-26T00:00:00"/>
    <x v="2"/>
    <x v="6"/>
    <n v="9"/>
    <n v="39096"/>
    <n v="351864"/>
    <n v="153162"/>
    <n v="65944"/>
    <n v="132758"/>
    <n v="38"/>
    <x v="0"/>
    <s v="Friday"/>
    <d v="2023-05-21T00:00:00"/>
    <d v="2023-04-01T00:00:00"/>
    <x v="4"/>
    <d v="2023-05-01T00:00:00"/>
    <n v="2023"/>
  </r>
  <r>
    <x v="801"/>
    <x v="2"/>
    <x v="1"/>
    <s v="ART010"/>
    <d v="2023-01-21T00:00:00"/>
    <x v="3"/>
    <x v="1"/>
    <n v="1"/>
    <n v="51497"/>
    <n v="51497"/>
    <n v="23731"/>
    <n v="10095"/>
    <n v="17671"/>
    <n v="11"/>
    <x v="4"/>
    <s v="Saturday"/>
    <d v="2023-01-15T00:00:00"/>
    <d v="2023-01-01T00:00:00"/>
    <x v="8"/>
    <d v="2023-01-01T00:00:00"/>
    <n v="2023"/>
  </r>
  <r>
    <x v="802"/>
    <x v="2"/>
    <x v="1"/>
    <s v="ART007"/>
    <d v="2023-02-10T00:00:00"/>
    <x v="2"/>
    <x v="1"/>
    <n v="7"/>
    <n v="2999"/>
    <n v="20993"/>
    <n v="8462"/>
    <n v="2260"/>
    <n v="10271"/>
    <n v="28"/>
    <x v="3"/>
    <s v="Friday"/>
    <d v="2023-02-05T00:00:00"/>
    <d v="2023-01-01T00:00:00"/>
    <x v="6"/>
    <d v="2023-02-01T00:00:00"/>
    <n v="2023"/>
  </r>
  <r>
    <x v="803"/>
    <x v="4"/>
    <x v="2"/>
    <s v="ART017"/>
    <d v="2023-06-04T00:00:00"/>
    <x v="3"/>
    <x v="6"/>
    <n v="7"/>
    <n v="57082"/>
    <n v="399574"/>
    <n v="123287"/>
    <n v="78945"/>
    <n v="197342"/>
    <n v="14"/>
    <x v="4"/>
    <s v="Sunday"/>
    <d v="2023-06-04T00:00:00"/>
    <d v="2023-04-01T00:00:00"/>
    <x v="1"/>
    <d v="2023-06-01T00:00:00"/>
    <n v="2023"/>
  </r>
  <r>
    <x v="804"/>
    <x v="3"/>
    <x v="2"/>
    <s v="ART020"/>
    <d v="2023-09-21T00:00:00"/>
    <x v="2"/>
    <x v="1"/>
    <n v="2"/>
    <n v="45470"/>
    <n v="90940"/>
    <n v="46132"/>
    <n v="14659"/>
    <n v="30149"/>
    <n v="15"/>
    <x v="1"/>
    <s v="Thursday"/>
    <d v="2023-09-17T00:00:00"/>
    <d v="2023-07-01T00:00:00"/>
    <x v="9"/>
    <d v="2023-09-01T00:00:00"/>
    <n v="2023"/>
  </r>
  <r>
    <x v="805"/>
    <x v="4"/>
    <x v="2"/>
    <s v="ART023"/>
    <d v="2023-02-05T00:00:00"/>
    <x v="0"/>
    <x v="2"/>
    <n v="5"/>
    <n v="45425"/>
    <n v="227125"/>
    <n v="93689"/>
    <n v="43386"/>
    <n v="90050"/>
    <n v="47"/>
    <x v="2"/>
    <s v="Sunday"/>
    <d v="2023-02-05T00:00:00"/>
    <d v="2023-01-01T00:00:00"/>
    <x v="6"/>
    <d v="2023-02-01T00:00:00"/>
    <n v="2023"/>
  </r>
  <r>
    <x v="806"/>
    <x v="4"/>
    <x v="2"/>
    <s v="ART034"/>
    <d v="2023-10-23T00:00:00"/>
    <x v="0"/>
    <x v="0"/>
    <n v="1"/>
    <n v="47284"/>
    <n v="47284"/>
    <n v="16368"/>
    <n v="5113"/>
    <n v="25803"/>
    <n v="2"/>
    <x v="2"/>
    <s v="Monday"/>
    <d v="2023-10-22T00:00:00"/>
    <d v="2023-10-01T00:00:00"/>
    <x v="3"/>
    <d v="2023-10-01T00:00:00"/>
    <n v="2023"/>
  </r>
  <r>
    <x v="807"/>
    <x v="3"/>
    <x v="2"/>
    <s v="ART024"/>
    <d v="2023-04-26T00:00:00"/>
    <x v="1"/>
    <x v="2"/>
    <n v="9"/>
    <n v="34807"/>
    <n v="313263"/>
    <n v="99025"/>
    <n v="55261"/>
    <n v="158977"/>
    <n v="23"/>
    <x v="1"/>
    <s v="Wednesday"/>
    <d v="2023-04-23T00:00:00"/>
    <d v="2023-04-01T00:00:00"/>
    <x v="5"/>
    <d v="2023-04-01T00:00:00"/>
    <n v="2023"/>
  </r>
  <r>
    <x v="808"/>
    <x v="4"/>
    <x v="2"/>
    <s v="ART046"/>
    <d v="2023-05-28T00:00:00"/>
    <x v="2"/>
    <x v="0"/>
    <n v="2"/>
    <n v="4662"/>
    <n v="9324"/>
    <n v="4888"/>
    <n v="1697"/>
    <n v="2739"/>
    <n v="45"/>
    <x v="0"/>
    <s v="Sunday"/>
    <d v="2023-05-28T00:00:00"/>
    <d v="2023-04-01T00:00:00"/>
    <x v="4"/>
    <d v="2023-05-01T00:00:00"/>
    <n v="2023"/>
  </r>
  <r>
    <x v="809"/>
    <x v="3"/>
    <x v="2"/>
    <s v="ART035"/>
    <d v="2023-03-18T00:00:00"/>
    <x v="1"/>
    <x v="2"/>
    <n v="7"/>
    <n v="41505"/>
    <n v="290535"/>
    <n v="151797"/>
    <n v="55141"/>
    <n v="83597"/>
    <n v="23"/>
    <x v="2"/>
    <s v="Saturday"/>
    <d v="2023-03-12T00:00:00"/>
    <d v="2023-01-01T00:00:00"/>
    <x v="2"/>
    <d v="2023-03-01T00:00:00"/>
    <n v="2023"/>
  </r>
  <r>
    <x v="810"/>
    <x v="2"/>
    <x v="1"/>
    <s v="ART050"/>
    <d v="2023-07-26T00:00:00"/>
    <x v="0"/>
    <x v="3"/>
    <n v="5"/>
    <n v="50154"/>
    <n v="250770"/>
    <n v="137343"/>
    <n v="46217"/>
    <n v="67210"/>
    <n v="17"/>
    <x v="4"/>
    <s v="Wednesday"/>
    <d v="2023-07-23T00:00:00"/>
    <d v="2023-07-01T00:00:00"/>
    <x v="0"/>
    <d v="2023-07-01T00:00:00"/>
    <n v="2023"/>
  </r>
  <r>
    <x v="811"/>
    <x v="3"/>
    <x v="2"/>
    <s v="ART026"/>
    <d v="2023-03-20T00:00:00"/>
    <x v="0"/>
    <x v="5"/>
    <n v="5"/>
    <n v="64495"/>
    <n v="322475"/>
    <n v="192112"/>
    <n v="50193"/>
    <n v="80170"/>
    <n v="0"/>
    <x v="2"/>
    <s v="Monday"/>
    <d v="2023-03-19T00:00:00"/>
    <d v="2023-01-01T00:00:00"/>
    <x v="2"/>
    <d v="2023-03-01T00:00:00"/>
    <n v="2023"/>
  </r>
  <r>
    <x v="812"/>
    <x v="2"/>
    <x v="1"/>
    <s v="ART029"/>
    <d v="2023-01-30T00:00:00"/>
    <x v="3"/>
    <x v="4"/>
    <n v="5"/>
    <n v="45896"/>
    <n v="229480"/>
    <n v="106136"/>
    <n v="41136"/>
    <n v="82208"/>
    <n v="43"/>
    <x v="3"/>
    <s v="Monday"/>
    <d v="2023-01-29T00:00:00"/>
    <d v="2023-01-01T00:00:00"/>
    <x v="8"/>
    <d v="2023-01-01T00:00:00"/>
    <n v="2023"/>
  </r>
  <r>
    <x v="813"/>
    <x v="1"/>
    <x v="0"/>
    <s v="ART001"/>
    <d v="2023-07-02T00:00:00"/>
    <x v="2"/>
    <x v="3"/>
    <n v="1"/>
    <n v="64049"/>
    <n v="64049"/>
    <n v="33304"/>
    <n v="9306"/>
    <n v="21439"/>
    <n v="44"/>
    <x v="4"/>
    <s v="Sunday"/>
    <d v="2023-07-02T00:00:00"/>
    <d v="2023-07-01T00:00:00"/>
    <x v="0"/>
    <d v="2023-07-01T00:00:00"/>
    <n v="2023"/>
  </r>
  <r>
    <x v="814"/>
    <x v="3"/>
    <x v="2"/>
    <s v="ART028"/>
    <d v="2023-11-09T00:00:00"/>
    <x v="3"/>
    <x v="0"/>
    <n v="9"/>
    <n v="66156"/>
    <n v="595404"/>
    <n v="275073"/>
    <n v="64713"/>
    <n v="255618"/>
    <n v="37"/>
    <x v="2"/>
    <s v="Thursday"/>
    <d v="2023-11-05T00:00:00"/>
    <d v="2023-10-01T00:00:00"/>
    <x v="10"/>
    <d v="2023-11-01T00:00:00"/>
    <n v="2023"/>
  </r>
  <r>
    <x v="815"/>
    <x v="4"/>
    <x v="2"/>
    <s v="ART009"/>
    <d v="2023-08-01T00:00:00"/>
    <x v="2"/>
    <x v="0"/>
    <n v="1"/>
    <n v="69975"/>
    <n v="69975"/>
    <n v="21668"/>
    <n v="13812"/>
    <n v="34495"/>
    <n v="23"/>
    <x v="4"/>
    <s v="Tuesday"/>
    <d v="2023-07-30T00:00:00"/>
    <d v="2023-07-01T00:00:00"/>
    <x v="7"/>
    <d v="2023-08-01T00:00:00"/>
    <n v="2023"/>
  </r>
  <r>
    <x v="816"/>
    <x v="1"/>
    <x v="0"/>
    <s v="ART031"/>
    <d v="2023-06-06T00:00:00"/>
    <x v="2"/>
    <x v="0"/>
    <n v="3"/>
    <n v="64289"/>
    <n v="192867"/>
    <n v="112692"/>
    <n v="28599"/>
    <n v="51576"/>
    <n v="24"/>
    <x v="4"/>
    <s v="Tuesday"/>
    <d v="2023-06-04T00:00:00"/>
    <d v="2023-04-01T00:00:00"/>
    <x v="1"/>
    <d v="2023-06-01T00:00:00"/>
    <n v="2023"/>
  </r>
  <r>
    <x v="817"/>
    <x v="1"/>
    <x v="0"/>
    <s v="ART017"/>
    <d v="2023-06-07T00:00:00"/>
    <x v="3"/>
    <x v="5"/>
    <n v="7"/>
    <n v="47791"/>
    <n v="334537"/>
    <n v="101565"/>
    <n v="50970"/>
    <n v="182002"/>
    <n v="6"/>
    <x v="4"/>
    <s v="Wednesday"/>
    <d v="2023-06-04T00:00:00"/>
    <d v="2023-04-01T00:00:00"/>
    <x v="1"/>
    <d v="2023-06-01T00:00:00"/>
    <n v="2023"/>
  </r>
  <r>
    <x v="818"/>
    <x v="3"/>
    <x v="2"/>
    <s v="ART023"/>
    <d v="2023-05-02T00:00:00"/>
    <x v="2"/>
    <x v="0"/>
    <n v="6"/>
    <n v="46380"/>
    <n v="278280"/>
    <n v="147861"/>
    <n v="29172"/>
    <n v="101247"/>
    <n v="17"/>
    <x v="4"/>
    <s v="Tuesday"/>
    <d v="2023-04-30T00:00:00"/>
    <d v="2023-04-01T00:00:00"/>
    <x v="4"/>
    <d v="2023-05-01T00:00:00"/>
    <n v="2023"/>
  </r>
  <r>
    <x v="819"/>
    <x v="3"/>
    <x v="2"/>
    <s v="ART045"/>
    <d v="2023-11-18T00:00:00"/>
    <x v="1"/>
    <x v="6"/>
    <n v="4"/>
    <n v="41851"/>
    <n v="167404"/>
    <n v="55605"/>
    <n v="24740"/>
    <n v="87059"/>
    <n v="19"/>
    <x v="4"/>
    <s v="Saturday"/>
    <d v="2023-11-12T00:00:00"/>
    <d v="2023-10-01T00:00:00"/>
    <x v="10"/>
    <d v="2023-11-01T00:00:00"/>
    <n v="2023"/>
  </r>
  <r>
    <x v="820"/>
    <x v="3"/>
    <x v="2"/>
    <s v="ART019"/>
    <d v="2023-02-08T00:00:00"/>
    <x v="2"/>
    <x v="3"/>
    <n v="10"/>
    <n v="56764"/>
    <n v="567640"/>
    <n v="198971"/>
    <n v="98921"/>
    <n v="269748"/>
    <n v="42"/>
    <x v="2"/>
    <s v="Wednesday"/>
    <d v="2023-02-05T00:00:00"/>
    <d v="2023-01-01T00:00:00"/>
    <x v="6"/>
    <d v="2023-02-01T00:00:00"/>
    <n v="2023"/>
  </r>
  <r>
    <x v="821"/>
    <x v="2"/>
    <x v="1"/>
    <s v="ART023"/>
    <d v="2023-09-11T00:00:00"/>
    <x v="3"/>
    <x v="6"/>
    <n v="4"/>
    <n v="10384"/>
    <n v="41536"/>
    <n v="17650"/>
    <n v="4659"/>
    <n v="19227"/>
    <n v="25"/>
    <x v="4"/>
    <s v="Monday"/>
    <d v="2023-09-10T00:00:00"/>
    <d v="2023-07-01T00:00:00"/>
    <x v="9"/>
    <d v="2023-09-01T00:00:00"/>
    <n v="2023"/>
  </r>
  <r>
    <x v="822"/>
    <x v="1"/>
    <x v="0"/>
    <s v="ART043"/>
    <d v="2023-04-23T00:00:00"/>
    <x v="1"/>
    <x v="2"/>
    <n v="7"/>
    <n v="38567"/>
    <n v="269969"/>
    <n v="137326"/>
    <n v="46598"/>
    <n v="86045"/>
    <n v="22"/>
    <x v="2"/>
    <s v="Sunday"/>
    <d v="2023-04-23T00:00:00"/>
    <d v="2023-04-01T00:00:00"/>
    <x v="5"/>
    <d v="2023-04-01T00:00:00"/>
    <n v="2023"/>
  </r>
  <r>
    <x v="823"/>
    <x v="3"/>
    <x v="2"/>
    <s v="ART030"/>
    <d v="2023-01-08T00:00:00"/>
    <x v="0"/>
    <x v="0"/>
    <n v="5"/>
    <n v="32255"/>
    <n v="161275"/>
    <n v="64868"/>
    <n v="24317"/>
    <n v="72090"/>
    <n v="9"/>
    <x v="2"/>
    <s v="Sunday"/>
    <d v="2023-01-08T00:00:00"/>
    <d v="2023-01-01T00:00:00"/>
    <x v="8"/>
    <d v="2023-01-01T00:00:00"/>
    <n v="2023"/>
  </r>
  <r>
    <x v="824"/>
    <x v="1"/>
    <x v="0"/>
    <s v="ART029"/>
    <d v="2023-05-18T00:00:00"/>
    <x v="1"/>
    <x v="3"/>
    <n v="5"/>
    <n v="35237"/>
    <n v="176185"/>
    <n v="79071"/>
    <n v="23429"/>
    <n v="73685"/>
    <n v="44"/>
    <x v="4"/>
    <s v="Thursday"/>
    <d v="2023-05-14T00:00:00"/>
    <d v="2023-04-01T00:00:00"/>
    <x v="4"/>
    <d v="2023-05-01T00:00:00"/>
    <n v="2023"/>
  </r>
  <r>
    <x v="825"/>
    <x v="3"/>
    <x v="2"/>
    <s v="ART029"/>
    <d v="2023-09-14T00:00:00"/>
    <x v="1"/>
    <x v="1"/>
    <n v="6"/>
    <n v="10221"/>
    <n v="61326"/>
    <n v="23181"/>
    <n v="11668"/>
    <n v="26477"/>
    <n v="26"/>
    <x v="3"/>
    <s v="Thursday"/>
    <d v="2023-09-10T00:00:00"/>
    <d v="2023-07-01T00:00:00"/>
    <x v="9"/>
    <d v="2023-09-01T00:00:00"/>
    <n v="2023"/>
  </r>
  <r>
    <x v="826"/>
    <x v="1"/>
    <x v="0"/>
    <s v="ART048"/>
    <d v="2023-10-23T00:00:00"/>
    <x v="1"/>
    <x v="2"/>
    <n v="1"/>
    <n v="18812"/>
    <n v="18812"/>
    <n v="11047"/>
    <n v="2086"/>
    <n v="5679"/>
    <n v="5"/>
    <x v="4"/>
    <s v="Monday"/>
    <d v="2023-10-22T00:00:00"/>
    <d v="2023-10-01T00:00:00"/>
    <x v="3"/>
    <d v="2023-10-01T00:00:00"/>
    <n v="2023"/>
  </r>
  <r>
    <x v="827"/>
    <x v="4"/>
    <x v="2"/>
    <s v="ART037"/>
    <d v="2023-10-15T00:00:00"/>
    <x v="2"/>
    <x v="0"/>
    <n v="4"/>
    <n v="38329"/>
    <n v="153316"/>
    <n v="88666"/>
    <n v="28326"/>
    <n v="36324"/>
    <n v="45"/>
    <x v="4"/>
    <s v="Sunday"/>
    <d v="2023-10-15T00:00:00"/>
    <d v="2023-10-01T00:00:00"/>
    <x v="3"/>
    <d v="2023-10-01T00:00:00"/>
    <n v="2023"/>
  </r>
  <r>
    <x v="828"/>
    <x v="2"/>
    <x v="1"/>
    <s v="ART040"/>
    <d v="2023-11-14T00:00:00"/>
    <x v="0"/>
    <x v="1"/>
    <n v="1"/>
    <n v="5248"/>
    <n v="5248"/>
    <n v="2029"/>
    <n v="772"/>
    <n v="2447"/>
    <n v="26"/>
    <x v="3"/>
    <s v="Tuesday"/>
    <d v="2023-11-12T00:00:00"/>
    <d v="2023-10-01T00:00:00"/>
    <x v="10"/>
    <d v="2023-11-01T00:00:00"/>
    <n v="2023"/>
  </r>
  <r>
    <x v="829"/>
    <x v="3"/>
    <x v="2"/>
    <s v="ART029"/>
    <d v="2023-06-10T00:00:00"/>
    <x v="1"/>
    <x v="6"/>
    <n v="2"/>
    <n v="10793"/>
    <n v="21586"/>
    <n v="11477"/>
    <n v="4033"/>
    <n v="6076"/>
    <n v="26"/>
    <x v="2"/>
    <s v="Saturday"/>
    <d v="2023-06-04T00:00:00"/>
    <d v="2023-04-01T00:00:00"/>
    <x v="1"/>
    <d v="2023-06-01T00:00:00"/>
    <n v="2023"/>
  </r>
  <r>
    <x v="830"/>
    <x v="3"/>
    <x v="2"/>
    <s v="ART019"/>
    <d v="2023-08-08T00:00:00"/>
    <x v="0"/>
    <x v="3"/>
    <n v="10"/>
    <n v="26067"/>
    <n v="260670"/>
    <n v="78859"/>
    <n v="33319"/>
    <n v="148492"/>
    <n v="21"/>
    <x v="3"/>
    <s v="Tuesday"/>
    <d v="2023-08-06T00:00:00"/>
    <d v="2023-07-01T00:00:00"/>
    <x v="7"/>
    <d v="2023-08-01T00:00:00"/>
    <n v="2023"/>
  </r>
  <r>
    <x v="831"/>
    <x v="4"/>
    <x v="2"/>
    <s v="ART047"/>
    <d v="2023-02-06T00:00:00"/>
    <x v="0"/>
    <x v="0"/>
    <n v="3"/>
    <n v="9633"/>
    <n v="28899"/>
    <n v="16498"/>
    <n v="5449"/>
    <n v="6952"/>
    <n v="38"/>
    <x v="3"/>
    <s v="Monday"/>
    <d v="2023-02-05T00:00:00"/>
    <d v="2023-01-01T00:00:00"/>
    <x v="6"/>
    <d v="2023-02-01T00:00:00"/>
    <n v="2023"/>
  </r>
  <r>
    <x v="832"/>
    <x v="1"/>
    <x v="0"/>
    <s v="ART015"/>
    <d v="2023-09-30T00:00:00"/>
    <x v="2"/>
    <x v="5"/>
    <n v="8"/>
    <n v="51874"/>
    <n v="414992"/>
    <n v="191822"/>
    <n v="42670"/>
    <n v="180500"/>
    <n v="37"/>
    <x v="4"/>
    <s v="Saturday"/>
    <d v="2023-09-24T00:00:00"/>
    <d v="2023-07-01T00:00:00"/>
    <x v="9"/>
    <d v="2023-09-01T00:00:00"/>
    <n v="2023"/>
  </r>
  <r>
    <x v="833"/>
    <x v="1"/>
    <x v="0"/>
    <s v="ART043"/>
    <d v="2023-01-25T00:00:00"/>
    <x v="3"/>
    <x v="1"/>
    <n v="2"/>
    <n v="51586"/>
    <n v="103172"/>
    <n v="55196"/>
    <n v="14348"/>
    <n v="33628"/>
    <n v="1"/>
    <x v="1"/>
    <s v="Wednesday"/>
    <d v="2023-01-22T00:00:00"/>
    <d v="2023-01-01T00:00:00"/>
    <x v="8"/>
    <d v="2023-01-01T00:00:00"/>
    <n v="2023"/>
  </r>
  <r>
    <x v="834"/>
    <x v="2"/>
    <x v="1"/>
    <s v="ART035"/>
    <d v="2023-02-13T00:00:00"/>
    <x v="0"/>
    <x v="1"/>
    <n v="4"/>
    <n v="65828"/>
    <n v="263312"/>
    <n v="97313"/>
    <n v="36024"/>
    <n v="129975"/>
    <n v="18"/>
    <x v="4"/>
    <s v="Monday"/>
    <d v="2023-02-12T00:00:00"/>
    <d v="2023-01-01T00:00:00"/>
    <x v="6"/>
    <d v="2023-02-01T00:00:00"/>
    <n v="2023"/>
  </r>
  <r>
    <x v="835"/>
    <x v="2"/>
    <x v="1"/>
    <s v="ART047"/>
    <d v="2023-08-20T00:00:00"/>
    <x v="2"/>
    <x v="0"/>
    <n v="6"/>
    <n v="36217"/>
    <n v="217302"/>
    <n v="96175"/>
    <n v="36401"/>
    <n v="84726"/>
    <n v="48"/>
    <x v="0"/>
    <s v="Sunday"/>
    <d v="2023-08-20T00:00:00"/>
    <d v="2023-07-01T00:00:00"/>
    <x v="7"/>
    <d v="2023-08-01T00:00:00"/>
    <n v="2023"/>
  </r>
  <r>
    <x v="836"/>
    <x v="1"/>
    <x v="0"/>
    <s v="ART001"/>
    <d v="2023-09-28T00:00:00"/>
    <x v="3"/>
    <x v="4"/>
    <n v="8"/>
    <n v="3163"/>
    <n v="25304"/>
    <n v="13766"/>
    <n v="3570"/>
    <n v="7968"/>
    <n v="21"/>
    <x v="0"/>
    <s v="Thursday"/>
    <d v="2023-09-24T00:00:00"/>
    <d v="2023-07-01T00:00:00"/>
    <x v="9"/>
    <d v="2023-09-01T00:00:00"/>
    <n v="2023"/>
  </r>
  <r>
    <x v="837"/>
    <x v="0"/>
    <x v="0"/>
    <s v="ART006"/>
    <d v="2023-10-21T00:00:00"/>
    <x v="1"/>
    <x v="6"/>
    <n v="3"/>
    <n v="29198"/>
    <n v="87594"/>
    <n v="31327"/>
    <n v="12523"/>
    <n v="43744"/>
    <n v="19"/>
    <x v="3"/>
    <s v="Saturday"/>
    <d v="2023-10-15T00:00:00"/>
    <d v="2023-10-01T00:00:00"/>
    <x v="3"/>
    <d v="2023-10-01T00:00:00"/>
    <n v="2023"/>
  </r>
  <r>
    <x v="838"/>
    <x v="1"/>
    <x v="0"/>
    <s v="ART022"/>
    <d v="2023-08-27T00:00:00"/>
    <x v="1"/>
    <x v="2"/>
    <n v="4"/>
    <n v="63302"/>
    <n v="253208"/>
    <n v="85554"/>
    <n v="37816"/>
    <n v="129838"/>
    <n v="43"/>
    <x v="3"/>
    <s v="Sunday"/>
    <d v="2023-08-27T00:00:00"/>
    <d v="2023-07-01T00:00:00"/>
    <x v="7"/>
    <d v="2023-08-01T00:00:00"/>
    <n v="2023"/>
  </r>
  <r>
    <x v="839"/>
    <x v="1"/>
    <x v="0"/>
    <s v="ART023"/>
    <d v="2023-08-23T00:00:00"/>
    <x v="1"/>
    <x v="4"/>
    <n v="7"/>
    <n v="34457"/>
    <n v="241199"/>
    <n v="127302"/>
    <n v="37440"/>
    <n v="76457"/>
    <n v="24"/>
    <x v="0"/>
    <s v="Wednesday"/>
    <d v="2023-08-20T00:00:00"/>
    <d v="2023-07-01T00:00:00"/>
    <x v="7"/>
    <d v="2023-08-01T00:00:00"/>
    <n v="2023"/>
  </r>
  <r>
    <x v="840"/>
    <x v="4"/>
    <x v="2"/>
    <s v="ART012"/>
    <d v="2023-04-16T00:00:00"/>
    <x v="1"/>
    <x v="2"/>
    <n v="3"/>
    <n v="32686"/>
    <n v="98058"/>
    <n v="54732"/>
    <n v="13086"/>
    <n v="30240"/>
    <n v="15"/>
    <x v="0"/>
    <s v="Sunday"/>
    <d v="2023-04-16T00:00:00"/>
    <d v="2023-04-01T00:00:00"/>
    <x v="5"/>
    <d v="2023-04-01T00:00:00"/>
    <n v="2023"/>
  </r>
  <r>
    <x v="841"/>
    <x v="0"/>
    <x v="0"/>
    <s v="ART002"/>
    <d v="2023-04-16T00:00:00"/>
    <x v="0"/>
    <x v="1"/>
    <n v="6"/>
    <n v="26524"/>
    <n v="159144"/>
    <n v="81192"/>
    <n v="22794"/>
    <n v="55158"/>
    <n v="38"/>
    <x v="4"/>
    <s v="Sunday"/>
    <d v="2023-04-16T00:00:00"/>
    <d v="2023-04-01T00:00:00"/>
    <x v="5"/>
    <d v="2023-04-01T00:00:00"/>
    <n v="2023"/>
  </r>
  <r>
    <x v="842"/>
    <x v="0"/>
    <x v="0"/>
    <s v="ART032"/>
    <d v="2023-03-12T00:00:00"/>
    <x v="0"/>
    <x v="0"/>
    <n v="9"/>
    <n v="49035"/>
    <n v="441315"/>
    <n v="222675"/>
    <n v="59800"/>
    <n v="158840"/>
    <n v="9"/>
    <x v="1"/>
    <s v="Sunday"/>
    <d v="2023-03-12T00:00:00"/>
    <d v="2023-01-01T00:00:00"/>
    <x v="2"/>
    <d v="2023-03-01T00:00:00"/>
    <n v="2023"/>
  </r>
  <r>
    <x v="843"/>
    <x v="2"/>
    <x v="1"/>
    <s v="ART012"/>
    <d v="2023-03-15T00:00:00"/>
    <x v="2"/>
    <x v="3"/>
    <n v="6"/>
    <n v="22840"/>
    <n v="137040"/>
    <n v="66535"/>
    <n v="17692"/>
    <n v="52813"/>
    <n v="1"/>
    <x v="1"/>
    <s v="Wednesday"/>
    <d v="2023-03-12T00:00:00"/>
    <d v="2023-01-01T00:00:00"/>
    <x v="2"/>
    <d v="2023-03-01T00:00:00"/>
    <n v="2023"/>
  </r>
  <r>
    <x v="844"/>
    <x v="2"/>
    <x v="1"/>
    <s v="ART016"/>
    <d v="2023-01-24T00:00:00"/>
    <x v="0"/>
    <x v="5"/>
    <n v="10"/>
    <n v="41602"/>
    <n v="416020"/>
    <n v="146344"/>
    <n v="50399"/>
    <n v="219277"/>
    <n v="47"/>
    <x v="2"/>
    <s v="Tuesday"/>
    <d v="2023-01-22T00:00:00"/>
    <d v="2023-01-01T00:00:00"/>
    <x v="8"/>
    <d v="2023-01-01T00:00:00"/>
    <n v="2023"/>
  </r>
  <r>
    <x v="845"/>
    <x v="0"/>
    <x v="0"/>
    <s v="ART029"/>
    <d v="2023-10-04T00:00:00"/>
    <x v="1"/>
    <x v="4"/>
    <n v="6"/>
    <n v="48651"/>
    <n v="291906"/>
    <n v="115167"/>
    <n v="32004"/>
    <n v="144735"/>
    <n v="30"/>
    <x v="4"/>
    <s v="Wednesday"/>
    <d v="2023-10-01T00:00:00"/>
    <d v="2023-10-01T00:00:00"/>
    <x v="3"/>
    <d v="2023-10-01T00:00:00"/>
    <n v="2023"/>
  </r>
  <r>
    <x v="846"/>
    <x v="1"/>
    <x v="0"/>
    <s v="ART014"/>
    <d v="2023-03-13T00:00:00"/>
    <x v="3"/>
    <x v="4"/>
    <n v="8"/>
    <n v="41528"/>
    <n v="332224"/>
    <n v="130739"/>
    <n v="54419"/>
    <n v="147066"/>
    <n v="25"/>
    <x v="1"/>
    <s v="Monday"/>
    <d v="2023-03-12T00:00:00"/>
    <d v="2023-01-01T00:00:00"/>
    <x v="2"/>
    <d v="2023-03-01T00:00:00"/>
    <n v="2023"/>
  </r>
  <r>
    <x v="847"/>
    <x v="2"/>
    <x v="1"/>
    <s v="ART015"/>
    <d v="2023-03-19T00:00:00"/>
    <x v="0"/>
    <x v="4"/>
    <n v="3"/>
    <n v="48160"/>
    <n v="144480"/>
    <n v="56770"/>
    <n v="24706"/>
    <n v="63004"/>
    <n v="43"/>
    <x v="0"/>
    <s v="Sunday"/>
    <d v="2023-03-19T00:00:00"/>
    <d v="2023-01-01T00:00:00"/>
    <x v="2"/>
    <d v="2023-03-01T00:00:00"/>
    <n v="2023"/>
  </r>
  <r>
    <x v="848"/>
    <x v="4"/>
    <x v="2"/>
    <s v="ART013"/>
    <d v="2023-04-26T00:00:00"/>
    <x v="0"/>
    <x v="4"/>
    <n v="5"/>
    <n v="55318"/>
    <n v="276590"/>
    <n v="149147"/>
    <n v="32713"/>
    <n v="94730"/>
    <n v="22"/>
    <x v="1"/>
    <s v="Wednesday"/>
    <d v="2023-04-23T00:00:00"/>
    <d v="2023-04-01T00:00:00"/>
    <x v="5"/>
    <d v="2023-04-01T00:00:00"/>
    <n v="2023"/>
  </r>
  <r>
    <x v="849"/>
    <x v="4"/>
    <x v="2"/>
    <s v="ART047"/>
    <d v="2023-09-05T00:00:00"/>
    <x v="1"/>
    <x v="5"/>
    <n v="10"/>
    <n v="63233"/>
    <n v="632330"/>
    <n v="314995"/>
    <n v="106287"/>
    <n v="211048"/>
    <n v="16"/>
    <x v="4"/>
    <s v="Tuesday"/>
    <d v="2023-09-03T00:00:00"/>
    <d v="2023-07-01T00:00:00"/>
    <x v="9"/>
    <d v="2023-09-01T00:00:00"/>
    <n v="2023"/>
  </r>
  <r>
    <x v="850"/>
    <x v="1"/>
    <x v="0"/>
    <s v="ART025"/>
    <d v="2023-05-30T00:00:00"/>
    <x v="3"/>
    <x v="4"/>
    <n v="9"/>
    <n v="48022"/>
    <n v="432198"/>
    <n v="183798"/>
    <n v="73024"/>
    <n v="175376"/>
    <n v="25"/>
    <x v="2"/>
    <s v="Tuesday"/>
    <d v="2023-05-28T00:00:00"/>
    <d v="2023-04-01T00:00:00"/>
    <x v="4"/>
    <d v="2023-05-01T00:00:00"/>
    <n v="2023"/>
  </r>
  <r>
    <x v="851"/>
    <x v="0"/>
    <x v="0"/>
    <s v="ART005"/>
    <d v="2023-07-14T00:00:00"/>
    <x v="3"/>
    <x v="2"/>
    <n v="7"/>
    <n v="57609"/>
    <n v="403263"/>
    <n v="209439"/>
    <n v="53884"/>
    <n v="139940"/>
    <n v="47"/>
    <x v="1"/>
    <s v="Friday"/>
    <d v="2023-07-09T00:00:00"/>
    <d v="2023-07-01T00:00:00"/>
    <x v="0"/>
    <d v="2023-07-01T00:00:00"/>
    <n v="2023"/>
  </r>
  <r>
    <x v="852"/>
    <x v="1"/>
    <x v="0"/>
    <s v="ART005"/>
    <d v="2023-09-02T00:00:00"/>
    <x v="0"/>
    <x v="1"/>
    <n v="9"/>
    <n v="24716"/>
    <n v="222444"/>
    <n v="68573"/>
    <n v="44165"/>
    <n v="109706"/>
    <n v="35"/>
    <x v="0"/>
    <s v="Saturday"/>
    <d v="2023-08-27T00:00:00"/>
    <d v="2023-07-01T00:00:00"/>
    <x v="9"/>
    <d v="2023-09-01T00:00:00"/>
    <n v="2023"/>
  </r>
  <r>
    <x v="853"/>
    <x v="2"/>
    <x v="1"/>
    <s v="ART043"/>
    <d v="2023-10-09T00:00:00"/>
    <x v="3"/>
    <x v="0"/>
    <n v="8"/>
    <n v="13665"/>
    <n v="109320"/>
    <n v="42067"/>
    <n v="12940"/>
    <n v="54313"/>
    <n v="26"/>
    <x v="1"/>
    <s v="Monday"/>
    <d v="2023-10-08T00:00:00"/>
    <d v="2023-10-01T00:00:00"/>
    <x v="3"/>
    <d v="2023-10-01T00:00:00"/>
    <n v="2023"/>
  </r>
  <r>
    <x v="854"/>
    <x v="0"/>
    <x v="0"/>
    <s v="ART008"/>
    <d v="2023-11-12T00:00:00"/>
    <x v="3"/>
    <x v="6"/>
    <n v="9"/>
    <n v="44374"/>
    <n v="399366"/>
    <n v="238525"/>
    <n v="58015"/>
    <n v="102826"/>
    <n v="1"/>
    <x v="2"/>
    <s v="Sunday"/>
    <d v="2023-11-12T00:00:00"/>
    <d v="2023-10-01T00:00:00"/>
    <x v="10"/>
    <d v="2023-11-01T00:00:00"/>
    <n v="2023"/>
  </r>
  <r>
    <x v="855"/>
    <x v="0"/>
    <x v="0"/>
    <s v="ART047"/>
    <d v="2023-02-04T00:00:00"/>
    <x v="3"/>
    <x v="6"/>
    <n v="4"/>
    <n v="67338"/>
    <n v="269352"/>
    <n v="148423"/>
    <n v="31922"/>
    <n v="89007"/>
    <n v="13"/>
    <x v="1"/>
    <s v="Saturday"/>
    <d v="2023-01-29T00:00:00"/>
    <d v="2023-01-01T00:00:00"/>
    <x v="6"/>
    <d v="2023-02-01T00:00:00"/>
    <n v="2023"/>
  </r>
  <r>
    <x v="856"/>
    <x v="4"/>
    <x v="2"/>
    <s v="ART010"/>
    <d v="2023-05-20T00:00:00"/>
    <x v="0"/>
    <x v="3"/>
    <n v="1"/>
    <n v="54198"/>
    <n v="54198"/>
    <n v="26501"/>
    <n v="10031"/>
    <n v="17666"/>
    <n v="49"/>
    <x v="2"/>
    <s v="Saturday"/>
    <d v="2023-05-14T00:00:00"/>
    <d v="2023-04-01T00:00:00"/>
    <x v="4"/>
    <d v="2023-05-01T00:00:00"/>
    <n v="2023"/>
  </r>
  <r>
    <x v="857"/>
    <x v="1"/>
    <x v="0"/>
    <s v="ART049"/>
    <d v="2023-10-21T00:00:00"/>
    <x v="3"/>
    <x v="5"/>
    <n v="8"/>
    <n v="20999"/>
    <n v="167992"/>
    <n v="100036"/>
    <n v="18456"/>
    <n v="49500"/>
    <n v="20"/>
    <x v="0"/>
    <s v="Saturday"/>
    <d v="2023-10-15T00:00:00"/>
    <d v="2023-10-01T00:00:00"/>
    <x v="3"/>
    <d v="2023-10-01T00:00:00"/>
    <n v="2023"/>
  </r>
  <r>
    <x v="858"/>
    <x v="1"/>
    <x v="0"/>
    <s v="ART023"/>
    <d v="2023-04-29T00:00:00"/>
    <x v="2"/>
    <x v="4"/>
    <n v="5"/>
    <n v="50032"/>
    <n v="250160"/>
    <n v="131084"/>
    <n v="31627"/>
    <n v="87449"/>
    <n v="7"/>
    <x v="3"/>
    <s v="Saturday"/>
    <d v="2023-04-23T00:00:00"/>
    <d v="2023-04-01T00:00:00"/>
    <x v="5"/>
    <d v="2023-04-01T00:00:00"/>
    <n v="2023"/>
  </r>
  <r>
    <x v="859"/>
    <x v="1"/>
    <x v="0"/>
    <s v="ART028"/>
    <d v="2023-07-21T00:00:00"/>
    <x v="3"/>
    <x v="1"/>
    <n v="10"/>
    <n v="54465"/>
    <n v="544650"/>
    <n v="313369"/>
    <n v="84641"/>
    <n v="146640"/>
    <n v="27"/>
    <x v="4"/>
    <s v="Friday"/>
    <d v="2023-07-16T00:00:00"/>
    <d v="2023-07-01T00:00:00"/>
    <x v="0"/>
    <d v="2023-07-01T00:00:00"/>
    <n v="2023"/>
  </r>
  <r>
    <x v="860"/>
    <x v="1"/>
    <x v="0"/>
    <s v="ART024"/>
    <d v="2023-09-30T00:00:00"/>
    <x v="1"/>
    <x v="3"/>
    <n v="9"/>
    <n v="68489"/>
    <n v="616401"/>
    <n v="233920"/>
    <n v="70518"/>
    <n v="311963"/>
    <n v="50"/>
    <x v="0"/>
    <s v="Saturday"/>
    <d v="2023-09-24T00:00:00"/>
    <d v="2023-07-01T00:00:00"/>
    <x v="9"/>
    <d v="2023-09-01T00:00:00"/>
    <n v="2023"/>
  </r>
  <r>
    <x v="861"/>
    <x v="2"/>
    <x v="1"/>
    <s v="ART047"/>
    <d v="2023-04-06T00:00:00"/>
    <x v="1"/>
    <x v="0"/>
    <n v="1"/>
    <n v="48033"/>
    <n v="48033"/>
    <n v="24512"/>
    <n v="9289"/>
    <n v="14232"/>
    <n v="32"/>
    <x v="4"/>
    <s v="Thursday"/>
    <d v="2023-04-02T00:00:00"/>
    <d v="2023-04-01T00:00:00"/>
    <x v="5"/>
    <d v="2023-04-01T00:00:00"/>
    <n v="2023"/>
  </r>
  <r>
    <x v="862"/>
    <x v="3"/>
    <x v="2"/>
    <s v="ART038"/>
    <d v="2023-11-11T00:00:00"/>
    <x v="0"/>
    <x v="5"/>
    <n v="3"/>
    <n v="68739"/>
    <n v="206217"/>
    <n v="73140"/>
    <n v="35126"/>
    <n v="97951"/>
    <n v="33"/>
    <x v="0"/>
    <s v="Saturday"/>
    <d v="2023-11-05T00:00:00"/>
    <d v="2023-10-01T00:00:00"/>
    <x v="10"/>
    <d v="2023-11-01T00:00:00"/>
    <n v="2023"/>
  </r>
  <r>
    <x v="863"/>
    <x v="1"/>
    <x v="0"/>
    <s v="ART010"/>
    <d v="2023-08-18T00:00:00"/>
    <x v="0"/>
    <x v="5"/>
    <n v="10"/>
    <n v="6614"/>
    <n v="66140"/>
    <n v="35568"/>
    <n v="6997"/>
    <n v="23575"/>
    <n v="42"/>
    <x v="0"/>
    <s v="Friday"/>
    <d v="2023-08-13T00:00:00"/>
    <d v="2023-07-01T00:00:00"/>
    <x v="7"/>
    <d v="2023-08-01T00:00:00"/>
    <n v="2023"/>
  </r>
  <r>
    <x v="864"/>
    <x v="2"/>
    <x v="1"/>
    <s v="ART008"/>
    <d v="2023-02-04T00:00:00"/>
    <x v="0"/>
    <x v="4"/>
    <n v="6"/>
    <n v="58423"/>
    <n v="350538"/>
    <n v="205406"/>
    <n v="61640"/>
    <n v="83492"/>
    <n v="4"/>
    <x v="1"/>
    <s v="Saturday"/>
    <d v="2023-01-29T00:00:00"/>
    <d v="2023-01-01T00:00:00"/>
    <x v="6"/>
    <d v="2023-02-01T00:00:00"/>
    <n v="2023"/>
  </r>
  <r>
    <x v="865"/>
    <x v="2"/>
    <x v="1"/>
    <s v="ART030"/>
    <d v="2023-09-17T00:00:00"/>
    <x v="2"/>
    <x v="3"/>
    <n v="4"/>
    <n v="55075"/>
    <n v="220300"/>
    <n v="101507"/>
    <n v="29483"/>
    <n v="89310"/>
    <n v="27"/>
    <x v="0"/>
    <s v="Sunday"/>
    <d v="2023-09-17T00:00:00"/>
    <d v="2023-07-01T00:00:00"/>
    <x v="9"/>
    <d v="2023-09-01T00:00:00"/>
    <n v="2023"/>
  </r>
  <r>
    <x v="866"/>
    <x v="3"/>
    <x v="2"/>
    <s v="ART025"/>
    <d v="2023-05-18T00:00:00"/>
    <x v="0"/>
    <x v="1"/>
    <n v="4"/>
    <n v="50882"/>
    <n v="203528"/>
    <n v="96760"/>
    <n v="21001"/>
    <n v="85767"/>
    <n v="3"/>
    <x v="0"/>
    <s v="Thursday"/>
    <d v="2023-05-14T00:00:00"/>
    <d v="2023-04-01T00:00:00"/>
    <x v="4"/>
    <d v="2023-05-01T00:00:00"/>
    <n v="2023"/>
  </r>
  <r>
    <x v="867"/>
    <x v="3"/>
    <x v="2"/>
    <s v="ART046"/>
    <d v="2023-11-09T00:00:00"/>
    <x v="2"/>
    <x v="4"/>
    <n v="10"/>
    <n v="21400"/>
    <n v="214000"/>
    <n v="81574"/>
    <n v="24749"/>
    <n v="107677"/>
    <n v="16"/>
    <x v="3"/>
    <s v="Thursday"/>
    <d v="2023-11-05T00:00:00"/>
    <d v="2023-10-01T00:00:00"/>
    <x v="10"/>
    <d v="2023-11-01T00:00:00"/>
    <n v="2023"/>
  </r>
  <r>
    <x v="868"/>
    <x v="3"/>
    <x v="2"/>
    <s v="ART038"/>
    <d v="2023-07-25T00:00:00"/>
    <x v="0"/>
    <x v="5"/>
    <n v="1"/>
    <n v="23073"/>
    <n v="23073"/>
    <n v="10647"/>
    <n v="2446"/>
    <n v="9980"/>
    <n v="24"/>
    <x v="2"/>
    <s v="Tuesday"/>
    <d v="2023-07-23T00:00:00"/>
    <d v="2023-07-01T00:00:00"/>
    <x v="0"/>
    <d v="2023-07-01T00:00:00"/>
    <n v="2023"/>
  </r>
  <r>
    <x v="869"/>
    <x v="0"/>
    <x v="0"/>
    <s v="ART002"/>
    <d v="2023-02-07T00:00:00"/>
    <x v="1"/>
    <x v="5"/>
    <n v="6"/>
    <n v="51861"/>
    <n v="311166"/>
    <n v="132719"/>
    <n v="31355"/>
    <n v="147092"/>
    <n v="42"/>
    <x v="4"/>
    <s v="Tuesday"/>
    <d v="2023-02-05T00:00:00"/>
    <d v="2023-01-01T00:00:00"/>
    <x v="6"/>
    <d v="2023-02-01T00:00:00"/>
    <n v="2023"/>
  </r>
  <r>
    <x v="870"/>
    <x v="2"/>
    <x v="1"/>
    <s v="ART005"/>
    <d v="2023-09-18T00:00:00"/>
    <x v="0"/>
    <x v="1"/>
    <n v="8"/>
    <n v="19020"/>
    <n v="152160"/>
    <n v="58074"/>
    <n v="23504"/>
    <n v="70582"/>
    <n v="49"/>
    <x v="3"/>
    <s v="Monday"/>
    <d v="2023-09-17T00:00:00"/>
    <d v="2023-07-01T00:00:00"/>
    <x v="9"/>
    <d v="2023-09-01T00:00:00"/>
    <n v="2023"/>
  </r>
  <r>
    <x v="871"/>
    <x v="1"/>
    <x v="0"/>
    <s v="ART003"/>
    <d v="2023-01-17T00:00:00"/>
    <x v="3"/>
    <x v="6"/>
    <n v="4"/>
    <n v="35051"/>
    <n v="140204"/>
    <n v="78467"/>
    <n v="18644"/>
    <n v="43093"/>
    <n v="25"/>
    <x v="0"/>
    <s v="Tuesday"/>
    <d v="2023-01-15T00:00:00"/>
    <d v="2023-01-01T00:00:00"/>
    <x v="8"/>
    <d v="2023-01-01T00:00:00"/>
    <n v="2023"/>
  </r>
  <r>
    <x v="872"/>
    <x v="0"/>
    <x v="0"/>
    <s v="ART001"/>
    <d v="2023-01-27T00:00:00"/>
    <x v="1"/>
    <x v="2"/>
    <n v="9"/>
    <n v="47264"/>
    <n v="425376"/>
    <n v="152283"/>
    <n v="63294"/>
    <n v="209799"/>
    <n v="25"/>
    <x v="0"/>
    <s v="Friday"/>
    <d v="2023-01-22T00:00:00"/>
    <d v="2023-01-01T00:00:00"/>
    <x v="8"/>
    <d v="2023-01-01T00:00:00"/>
    <n v="2023"/>
  </r>
  <r>
    <x v="873"/>
    <x v="1"/>
    <x v="0"/>
    <s v="ART044"/>
    <d v="2023-06-03T00:00:00"/>
    <x v="3"/>
    <x v="4"/>
    <n v="6"/>
    <n v="18734"/>
    <n v="112404"/>
    <n v="55962"/>
    <n v="22421"/>
    <n v="34021"/>
    <n v="16"/>
    <x v="4"/>
    <s v="Saturday"/>
    <d v="2023-05-28T00:00:00"/>
    <d v="2023-04-01T00:00:00"/>
    <x v="1"/>
    <d v="2023-06-01T00:00:00"/>
    <n v="2023"/>
  </r>
  <r>
    <x v="874"/>
    <x v="3"/>
    <x v="2"/>
    <s v="ART011"/>
    <d v="2023-04-16T00:00:00"/>
    <x v="2"/>
    <x v="6"/>
    <n v="10"/>
    <n v="38293"/>
    <n v="382930"/>
    <n v="119828"/>
    <n v="73359"/>
    <n v="189743"/>
    <n v="48"/>
    <x v="4"/>
    <s v="Sunday"/>
    <d v="2023-04-16T00:00:00"/>
    <d v="2023-04-01T00:00:00"/>
    <x v="5"/>
    <d v="2023-04-01T00:00:00"/>
    <n v="2023"/>
  </r>
  <r>
    <x v="875"/>
    <x v="0"/>
    <x v="0"/>
    <s v="ART026"/>
    <d v="2023-04-03T00:00:00"/>
    <x v="0"/>
    <x v="5"/>
    <n v="1"/>
    <n v="35576"/>
    <n v="35576"/>
    <n v="11106"/>
    <n v="4320"/>
    <n v="20150"/>
    <n v="45"/>
    <x v="0"/>
    <s v="Monday"/>
    <d v="2023-04-02T00:00:00"/>
    <d v="2023-04-01T00:00:00"/>
    <x v="5"/>
    <d v="2023-04-01T00:00:00"/>
    <n v="2023"/>
  </r>
  <r>
    <x v="876"/>
    <x v="0"/>
    <x v="0"/>
    <s v="ART043"/>
    <d v="2023-10-13T00:00:00"/>
    <x v="2"/>
    <x v="1"/>
    <n v="10"/>
    <n v="50128"/>
    <n v="501280"/>
    <n v="188202"/>
    <n v="70859"/>
    <n v="242219"/>
    <n v="22"/>
    <x v="3"/>
    <s v="Friday"/>
    <d v="2023-10-08T00:00:00"/>
    <d v="2023-10-01T00:00:00"/>
    <x v="3"/>
    <d v="2023-10-01T00:00:00"/>
    <n v="2023"/>
  </r>
  <r>
    <x v="877"/>
    <x v="4"/>
    <x v="2"/>
    <s v="ART004"/>
    <d v="2023-05-24T00:00:00"/>
    <x v="2"/>
    <x v="2"/>
    <n v="10"/>
    <n v="19702"/>
    <n v="197020"/>
    <n v="78673"/>
    <n v="31385"/>
    <n v="86962"/>
    <n v="32"/>
    <x v="4"/>
    <s v="Wednesday"/>
    <d v="2023-05-21T00:00:00"/>
    <d v="2023-04-01T00:00:00"/>
    <x v="4"/>
    <d v="2023-05-01T00:00:00"/>
    <n v="2023"/>
  </r>
  <r>
    <x v="878"/>
    <x v="3"/>
    <x v="2"/>
    <s v="ART048"/>
    <d v="2023-08-21T00:00:00"/>
    <x v="3"/>
    <x v="4"/>
    <n v="3"/>
    <n v="7865"/>
    <n v="23595"/>
    <n v="12256"/>
    <n v="4218"/>
    <n v="7121"/>
    <n v="3"/>
    <x v="3"/>
    <s v="Monday"/>
    <d v="2023-08-20T00:00:00"/>
    <d v="2023-07-01T00:00:00"/>
    <x v="7"/>
    <d v="2023-08-01T00:00:00"/>
    <n v="2023"/>
  </r>
  <r>
    <x v="879"/>
    <x v="1"/>
    <x v="0"/>
    <s v="ART045"/>
    <d v="2023-03-02T00:00:00"/>
    <x v="0"/>
    <x v="2"/>
    <n v="8"/>
    <n v="40173"/>
    <n v="321384"/>
    <n v="154478"/>
    <n v="49981"/>
    <n v="116925"/>
    <n v="18"/>
    <x v="4"/>
    <s v="Thursday"/>
    <d v="2023-02-26T00:00:00"/>
    <d v="2023-01-01T00:00:00"/>
    <x v="2"/>
    <d v="2023-03-01T00:00:00"/>
    <n v="2023"/>
  </r>
  <r>
    <x v="880"/>
    <x v="2"/>
    <x v="1"/>
    <s v="ART009"/>
    <d v="2023-09-11T00:00:00"/>
    <x v="0"/>
    <x v="0"/>
    <n v="4"/>
    <n v="35913"/>
    <n v="143652"/>
    <n v="83637"/>
    <n v="25040"/>
    <n v="34975"/>
    <n v="17"/>
    <x v="3"/>
    <s v="Monday"/>
    <d v="2023-09-10T00:00:00"/>
    <d v="2023-07-01T00:00:00"/>
    <x v="9"/>
    <d v="2023-09-01T00:00:00"/>
    <n v="2023"/>
  </r>
  <r>
    <x v="881"/>
    <x v="3"/>
    <x v="2"/>
    <s v="ART026"/>
    <d v="2023-09-10T00:00:00"/>
    <x v="3"/>
    <x v="0"/>
    <n v="1"/>
    <n v="26591"/>
    <n v="26591"/>
    <n v="14479"/>
    <n v="4919"/>
    <n v="7193"/>
    <n v="12"/>
    <x v="4"/>
    <s v="Sunday"/>
    <d v="2023-09-10T00:00:00"/>
    <d v="2023-07-01T00:00:00"/>
    <x v="9"/>
    <d v="2023-09-01T00:00:00"/>
    <n v="2023"/>
  </r>
  <r>
    <x v="882"/>
    <x v="1"/>
    <x v="0"/>
    <s v="ART030"/>
    <d v="2023-06-29T00:00:00"/>
    <x v="3"/>
    <x v="1"/>
    <n v="7"/>
    <n v="62651"/>
    <n v="438557"/>
    <n v="148212"/>
    <n v="49083"/>
    <n v="241262"/>
    <n v="48"/>
    <x v="4"/>
    <s v="Thursday"/>
    <d v="2023-06-25T00:00:00"/>
    <d v="2023-04-01T00:00:00"/>
    <x v="1"/>
    <d v="2023-06-01T00:00:00"/>
    <n v="2023"/>
  </r>
  <r>
    <x v="883"/>
    <x v="0"/>
    <x v="0"/>
    <s v="ART015"/>
    <d v="2023-05-31T00:00:00"/>
    <x v="0"/>
    <x v="5"/>
    <n v="2"/>
    <n v="59754"/>
    <n v="119508"/>
    <n v="49378"/>
    <n v="13185"/>
    <n v="56945"/>
    <n v="42"/>
    <x v="1"/>
    <s v="Wednesday"/>
    <d v="2023-05-28T00:00:00"/>
    <d v="2023-04-01T00:00:00"/>
    <x v="4"/>
    <d v="2023-05-01T00:00:00"/>
    <n v="2023"/>
  </r>
  <r>
    <x v="884"/>
    <x v="0"/>
    <x v="0"/>
    <s v="ART012"/>
    <d v="2023-01-04T00:00:00"/>
    <x v="3"/>
    <x v="3"/>
    <n v="5"/>
    <n v="36734"/>
    <n v="183670"/>
    <n v="60640"/>
    <n v="24008"/>
    <n v="99022"/>
    <n v="15"/>
    <x v="0"/>
    <s v="Wednesday"/>
    <d v="2023-01-01T00:00:00"/>
    <d v="2023-01-01T00:00:00"/>
    <x v="8"/>
    <d v="2023-01-01T00:00:00"/>
    <n v="2023"/>
  </r>
  <r>
    <x v="885"/>
    <x v="0"/>
    <x v="0"/>
    <s v="ART028"/>
    <d v="2023-01-14T00:00:00"/>
    <x v="2"/>
    <x v="0"/>
    <n v="10"/>
    <n v="41148"/>
    <n v="411480"/>
    <n v="137683"/>
    <n v="60226"/>
    <n v="213571"/>
    <n v="39"/>
    <x v="3"/>
    <s v="Saturday"/>
    <d v="2023-01-08T00:00:00"/>
    <d v="2023-01-01T00:00:00"/>
    <x v="8"/>
    <d v="2023-01-01T00:00:00"/>
    <n v="2023"/>
  </r>
  <r>
    <x v="886"/>
    <x v="4"/>
    <x v="2"/>
    <s v="ART013"/>
    <d v="2023-02-23T00:00:00"/>
    <x v="3"/>
    <x v="2"/>
    <n v="9"/>
    <n v="24083"/>
    <n v="216747"/>
    <n v="70414"/>
    <n v="28694"/>
    <n v="117639"/>
    <n v="45"/>
    <x v="0"/>
    <s v="Thursday"/>
    <d v="2023-02-19T00:00:00"/>
    <d v="2023-01-01T00:00:00"/>
    <x v="6"/>
    <d v="2023-02-01T00:00:00"/>
    <n v="2023"/>
  </r>
  <r>
    <x v="887"/>
    <x v="0"/>
    <x v="0"/>
    <s v="ART004"/>
    <d v="2023-10-16T00:00:00"/>
    <x v="1"/>
    <x v="3"/>
    <n v="3"/>
    <n v="67479"/>
    <n v="202437"/>
    <n v="88184"/>
    <n v="20759"/>
    <n v="93494"/>
    <n v="17"/>
    <x v="1"/>
    <s v="Monday"/>
    <d v="2023-10-15T00:00:00"/>
    <d v="2023-10-01T00:00:00"/>
    <x v="3"/>
    <d v="2023-10-01T00:00:00"/>
    <n v="2023"/>
  </r>
  <r>
    <x v="888"/>
    <x v="0"/>
    <x v="0"/>
    <s v="ART036"/>
    <d v="2023-01-13T00:00:00"/>
    <x v="3"/>
    <x v="1"/>
    <n v="8"/>
    <n v="57535"/>
    <n v="460280"/>
    <n v="242793"/>
    <n v="75657"/>
    <n v="141830"/>
    <n v="6"/>
    <x v="0"/>
    <s v="Friday"/>
    <d v="2023-01-08T00:00:00"/>
    <d v="2023-01-01T00:00:00"/>
    <x v="8"/>
    <d v="2023-01-01T00:00:00"/>
    <n v="2023"/>
  </r>
  <r>
    <x v="889"/>
    <x v="0"/>
    <x v="0"/>
    <s v="ART017"/>
    <d v="2023-02-14T00:00:00"/>
    <x v="0"/>
    <x v="0"/>
    <n v="1"/>
    <n v="64893"/>
    <n v="64893"/>
    <n v="20332"/>
    <n v="11723"/>
    <n v="32838"/>
    <n v="41"/>
    <x v="2"/>
    <s v="Tuesday"/>
    <d v="2023-02-12T00:00:00"/>
    <d v="2023-01-01T00:00:00"/>
    <x v="6"/>
    <d v="2023-02-01T00:00:00"/>
    <n v="2023"/>
  </r>
  <r>
    <x v="890"/>
    <x v="3"/>
    <x v="2"/>
    <s v="ART005"/>
    <d v="2023-04-27T00:00:00"/>
    <x v="1"/>
    <x v="4"/>
    <n v="6"/>
    <n v="67092"/>
    <n v="402552"/>
    <n v="123299"/>
    <n v="56415"/>
    <n v="222838"/>
    <n v="22"/>
    <x v="1"/>
    <s v="Thursday"/>
    <d v="2023-04-23T00:00:00"/>
    <d v="2023-04-01T00:00:00"/>
    <x v="5"/>
    <d v="2023-04-01T00:00:00"/>
    <n v="2023"/>
  </r>
  <r>
    <x v="891"/>
    <x v="2"/>
    <x v="1"/>
    <s v="ART035"/>
    <d v="2023-04-19T00:00:00"/>
    <x v="3"/>
    <x v="0"/>
    <n v="9"/>
    <n v="4979"/>
    <n v="44811"/>
    <n v="15181"/>
    <n v="4578"/>
    <n v="25052"/>
    <n v="28"/>
    <x v="0"/>
    <s v="Wednesday"/>
    <d v="2023-04-16T00:00:00"/>
    <d v="2023-04-01T00:00:00"/>
    <x v="5"/>
    <d v="2023-04-01T00:00:00"/>
    <n v="2023"/>
  </r>
  <r>
    <x v="892"/>
    <x v="3"/>
    <x v="2"/>
    <s v="ART043"/>
    <d v="2023-05-10T00:00:00"/>
    <x v="1"/>
    <x v="1"/>
    <n v="5"/>
    <n v="23480"/>
    <n v="117400"/>
    <n v="51821"/>
    <n v="17436"/>
    <n v="48143"/>
    <n v="22"/>
    <x v="3"/>
    <s v="Wednesday"/>
    <d v="2023-05-07T00:00:00"/>
    <d v="2023-04-01T00:00:00"/>
    <x v="4"/>
    <d v="2023-05-01T00:00:00"/>
    <n v="2023"/>
  </r>
  <r>
    <x v="893"/>
    <x v="2"/>
    <x v="1"/>
    <s v="ART049"/>
    <d v="2023-09-28T00:00:00"/>
    <x v="1"/>
    <x v="1"/>
    <n v="6"/>
    <n v="30580"/>
    <n v="183480"/>
    <n v="95051"/>
    <n v="28433"/>
    <n v="59996"/>
    <n v="39"/>
    <x v="4"/>
    <s v="Thursday"/>
    <d v="2023-09-24T00:00:00"/>
    <d v="2023-07-01T00:00:00"/>
    <x v="9"/>
    <d v="2023-09-01T00:00:00"/>
    <n v="2023"/>
  </r>
  <r>
    <x v="894"/>
    <x v="4"/>
    <x v="2"/>
    <s v="ART037"/>
    <d v="2023-01-24T00:00:00"/>
    <x v="3"/>
    <x v="0"/>
    <n v="3"/>
    <n v="65131"/>
    <n v="195393"/>
    <n v="115742"/>
    <n v="37647"/>
    <n v="42004"/>
    <n v="0"/>
    <x v="4"/>
    <s v="Tuesday"/>
    <d v="2023-01-22T00:00:00"/>
    <d v="2023-01-01T00:00:00"/>
    <x v="8"/>
    <d v="2023-01-01T00:00:00"/>
    <n v="2023"/>
  </r>
  <r>
    <x v="895"/>
    <x v="4"/>
    <x v="2"/>
    <s v="ART015"/>
    <d v="2023-09-14T00:00:00"/>
    <x v="3"/>
    <x v="2"/>
    <n v="3"/>
    <n v="14111"/>
    <n v="42333"/>
    <n v="18054"/>
    <n v="6492"/>
    <n v="17787"/>
    <n v="46"/>
    <x v="4"/>
    <s v="Thursday"/>
    <d v="2023-09-10T00:00:00"/>
    <d v="2023-07-01T00:00:00"/>
    <x v="9"/>
    <d v="2023-09-01T00:00:00"/>
    <n v="2023"/>
  </r>
  <r>
    <x v="896"/>
    <x v="4"/>
    <x v="2"/>
    <s v="ART046"/>
    <d v="2023-01-28T00:00:00"/>
    <x v="3"/>
    <x v="4"/>
    <n v="6"/>
    <n v="24485"/>
    <n v="146910"/>
    <n v="72470"/>
    <n v="24911"/>
    <n v="49529"/>
    <n v="28"/>
    <x v="4"/>
    <s v="Saturday"/>
    <d v="2023-01-22T00:00:00"/>
    <d v="2023-01-01T00:00:00"/>
    <x v="8"/>
    <d v="2023-01-01T00:00:00"/>
    <n v="2023"/>
  </r>
  <r>
    <x v="897"/>
    <x v="0"/>
    <x v="0"/>
    <s v="ART010"/>
    <d v="2023-07-06T00:00:00"/>
    <x v="0"/>
    <x v="4"/>
    <n v="2"/>
    <n v="51491"/>
    <n v="102982"/>
    <n v="43816"/>
    <n v="13033"/>
    <n v="46133"/>
    <n v="47"/>
    <x v="4"/>
    <s v="Thursday"/>
    <d v="2023-07-02T00:00:00"/>
    <d v="2023-07-01T00:00:00"/>
    <x v="0"/>
    <d v="2023-07-01T00:00:00"/>
    <n v="2023"/>
  </r>
  <r>
    <x v="898"/>
    <x v="0"/>
    <x v="0"/>
    <s v="ART005"/>
    <d v="2023-11-23T00:00:00"/>
    <x v="0"/>
    <x v="2"/>
    <n v="7"/>
    <n v="64983"/>
    <n v="454881"/>
    <n v="143033"/>
    <n v="85068"/>
    <n v="226780"/>
    <n v="9"/>
    <x v="2"/>
    <s v="Thursday"/>
    <d v="2023-11-19T00:00:00"/>
    <d v="2023-10-01T00:00:00"/>
    <x v="10"/>
    <d v="2023-11-01T00:00:00"/>
    <n v="2023"/>
  </r>
  <r>
    <x v="899"/>
    <x v="0"/>
    <x v="0"/>
    <s v="ART014"/>
    <d v="2023-02-03T00:00:00"/>
    <x v="1"/>
    <x v="1"/>
    <n v="2"/>
    <n v="33359"/>
    <n v="66718"/>
    <n v="25129"/>
    <n v="7395"/>
    <n v="34194"/>
    <n v="22"/>
    <x v="4"/>
    <s v="Friday"/>
    <d v="2023-01-29T00:00:00"/>
    <d v="2023-01-01T00:00:00"/>
    <x v="6"/>
    <d v="2023-02-01T00:00:00"/>
    <n v="2023"/>
  </r>
  <r>
    <x v="900"/>
    <x v="1"/>
    <x v="0"/>
    <s v="ART008"/>
    <d v="2023-05-25T00:00:00"/>
    <x v="3"/>
    <x v="3"/>
    <n v="4"/>
    <n v="39269"/>
    <n v="157076"/>
    <n v="52239"/>
    <n v="28212"/>
    <n v="76625"/>
    <n v="12"/>
    <x v="3"/>
    <s v="Thursday"/>
    <d v="2023-05-21T00:00:00"/>
    <d v="2023-04-01T00:00:00"/>
    <x v="4"/>
    <d v="2023-05-01T00:00:00"/>
    <n v="2023"/>
  </r>
  <r>
    <x v="901"/>
    <x v="4"/>
    <x v="2"/>
    <s v="ART042"/>
    <d v="2023-02-13T00:00:00"/>
    <x v="2"/>
    <x v="4"/>
    <n v="1"/>
    <n v="66894"/>
    <n v="66894"/>
    <n v="24750"/>
    <n v="8473"/>
    <n v="33671"/>
    <n v="36"/>
    <x v="3"/>
    <s v="Monday"/>
    <d v="2023-02-12T00:00:00"/>
    <d v="2023-01-01T00:00:00"/>
    <x v="6"/>
    <d v="2023-02-01T00:00:00"/>
    <n v="2023"/>
  </r>
  <r>
    <x v="902"/>
    <x v="4"/>
    <x v="2"/>
    <s v="ART026"/>
    <d v="2023-10-29T00:00:00"/>
    <x v="3"/>
    <x v="2"/>
    <n v="3"/>
    <n v="11523"/>
    <n v="34569"/>
    <n v="20634"/>
    <n v="5280"/>
    <n v="8655"/>
    <n v="17"/>
    <x v="4"/>
    <s v="Sunday"/>
    <d v="2023-10-29T00:00:00"/>
    <d v="2023-10-01T00:00:00"/>
    <x v="3"/>
    <d v="2023-10-01T00:00:00"/>
    <n v="2023"/>
  </r>
  <r>
    <x v="903"/>
    <x v="3"/>
    <x v="2"/>
    <s v="ART009"/>
    <d v="2023-11-21T00:00:00"/>
    <x v="1"/>
    <x v="6"/>
    <n v="1"/>
    <n v="5375"/>
    <n v="5375"/>
    <n v="1822"/>
    <n v="654"/>
    <n v="2899"/>
    <n v="46"/>
    <x v="0"/>
    <s v="Tuesday"/>
    <d v="2023-11-19T00:00:00"/>
    <d v="2023-10-01T00:00:00"/>
    <x v="10"/>
    <d v="2023-11-01T00:00:00"/>
    <n v="2023"/>
  </r>
  <r>
    <x v="904"/>
    <x v="0"/>
    <x v="0"/>
    <s v="ART025"/>
    <d v="2023-01-07T00:00:00"/>
    <x v="2"/>
    <x v="1"/>
    <n v="4"/>
    <n v="62073"/>
    <n v="248292"/>
    <n v="76384"/>
    <n v="36887"/>
    <n v="135021"/>
    <n v="20"/>
    <x v="4"/>
    <s v="Saturday"/>
    <d v="2023-01-01T00:00:00"/>
    <d v="2023-01-01T00:00:00"/>
    <x v="8"/>
    <d v="2023-01-01T00:00:00"/>
    <n v="2023"/>
  </r>
  <r>
    <x v="905"/>
    <x v="2"/>
    <x v="1"/>
    <s v="ART039"/>
    <d v="2023-10-04T00:00:00"/>
    <x v="3"/>
    <x v="5"/>
    <n v="5"/>
    <n v="27734"/>
    <n v="138670"/>
    <n v="74125"/>
    <n v="19912"/>
    <n v="44633"/>
    <n v="44"/>
    <x v="4"/>
    <s v="Wednesday"/>
    <d v="2023-10-01T00:00:00"/>
    <d v="2023-10-01T00:00:00"/>
    <x v="3"/>
    <d v="2023-10-01T00:00:00"/>
    <n v="2023"/>
  </r>
  <r>
    <x v="906"/>
    <x v="4"/>
    <x v="2"/>
    <s v="ART013"/>
    <d v="2023-01-20T00:00:00"/>
    <x v="2"/>
    <x v="6"/>
    <n v="6"/>
    <n v="27007"/>
    <n v="162042"/>
    <n v="87509"/>
    <n v="30749"/>
    <n v="43784"/>
    <n v="1"/>
    <x v="2"/>
    <s v="Friday"/>
    <d v="2023-01-15T00:00:00"/>
    <d v="2023-01-01T00:00:00"/>
    <x v="8"/>
    <d v="2023-01-01T00:00:00"/>
    <n v="2023"/>
  </r>
  <r>
    <x v="907"/>
    <x v="3"/>
    <x v="2"/>
    <s v="ART036"/>
    <d v="2023-01-26T00:00:00"/>
    <x v="2"/>
    <x v="5"/>
    <n v="4"/>
    <n v="31600"/>
    <n v="126400"/>
    <n v="51062"/>
    <n v="17144"/>
    <n v="58194"/>
    <n v="24"/>
    <x v="0"/>
    <s v="Thursday"/>
    <d v="2023-01-22T00:00:00"/>
    <d v="2023-01-01T00:00:00"/>
    <x v="8"/>
    <d v="2023-01-01T00:00:00"/>
    <n v="2023"/>
  </r>
  <r>
    <x v="908"/>
    <x v="4"/>
    <x v="2"/>
    <s v="ART036"/>
    <d v="2023-03-04T00:00:00"/>
    <x v="3"/>
    <x v="3"/>
    <n v="10"/>
    <n v="39696"/>
    <n v="396960"/>
    <n v="168163"/>
    <n v="68289"/>
    <n v="160508"/>
    <n v="50"/>
    <x v="0"/>
    <s v="Saturday"/>
    <d v="2023-02-26T00:00:00"/>
    <d v="2023-01-01T00:00:00"/>
    <x v="2"/>
    <d v="2023-03-01T00:00:00"/>
    <n v="2023"/>
  </r>
  <r>
    <x v="909"/>
    <x v="3"/>
    <x v="2"/>
    <s v="ART010"/>
    <d v="2023-05-08T00:00:00"/>
    <x v="1"/>
    <x v="1"/>
    <n v="2"/>
    <n v="65602"/>
    <n v="131204"/>
    <n v="62792"/>
    <n v="22178"/>
    <n v="46234"/>
    <n v="15"/>
    <x v="4"/>
    <s v="Monday"/>
    <d v="2023-05-07T00:00:00"/>
    <d v="2023-04-01T00:00:00"/>
    <x v="4"/>
    <d v="2023-05-01T00:00:00"/>
    <n v="2023"/>
  </r>
  <r>
    <x v="910"/>
    <x v="2"/>
    <x v="1"/>
    <s v="ART022"/>
    <d v="2023-05-06T00:00:00"/>
    <x v="3"/>
    <x v="0"/>
    <n v="7"/>
    <n v="62931"/>
    <n v="440517"/>
    <n v="243945"/>
    <n v="50584"/>
    <n v="145988"/>
    <n v="41"/>
    <x v="1"/>
    <s v="Saturday"/>
    <d v="2023-04-30T00:00:00"/>
    <d v="2023-04-01T00:00:00"/>
    <x v="4"/>
    <d v="2023-05-01T00:00:00"/>
    <n v="2023"/>
  </r>
  <r>
    <x v="911"/>
    <x v="2"/>
    <x v="1"/>
    <s v="ART045"/>
    <d v="2023-09-28T00:00:00"/>
    <x v="2"/>
    <x v="5"/>
    <n v="6"/>
    <n v="52754"/>
    <n v="316524"/>
    <n v="99517"/>
    <n v="62969"/>
    <n v="154038"/>
    <n v="24"/>
    <x v="1"/>
    <s v="Thursday"/>
    <d v="2023-09-24T00:00:00"/>
    <d v="2023-07-01T00:00:00"/>
    <x v="9"/>
    <d v="2023-09-01T00:00:00"/>
    <n v="2023"/>
  </r>
  <r>
    <x v="912"/>
    <x v="1"/>
    <x v="0"/>
    <s v="ART003"/>
    <d v="2023-10-16T00:00:00"/>
    <x v="3"/>
    <x v="5"/>
    <n v="8"/>
    <n v="59115"/>
    <n v="472920"/>
    <n v="238376"/>
    <n v="74590"/>
    <n v="159954"/>
    <n v="44"/>
    <x v="2"/>
    <s v="Monday"/>
    <d v="2023-10-15T00:00:00"/>
    <d v="2023-10-01T00:00:00"/>
    <x v="3"/>
    <d v="2023-10-01T00:00:00"/>
    <n v="2023"/>
  </r>
  <r>
    <x v="913"/>
    <x v="4"/>
    <x v="2"/>
    <s v="ART005"/>
    <d v="2023-09-15T00:00:00"/>
    <x v="0"/>
    <x v="3"/>
    <n v="7"/>
    <n v="30805"/>
    <n v="215635"/>
    <n v="70601"/>
    <n v="36102"/>
    <n v="108932"/>
    <n v="32"/>
    <x v="2"/>
    <s v="Friday"/>
    <d v="2023-09-10T00:00:00"/>
    <d v="2023-07-01T00:00:00"/>
    <x v="9"/>
    <d v="2023-09-01T00:00:00"/>
    <n v="2023"/>
  </r>
  <r>
    <x v="914"/>
    <x v="2"/>
    <x v="1"/>
    <s v="ART047"/>
    <d v="2023-07-14T00:00:00"/>
    <x v="2"/>
    <x v="2"/>
    <n v="3"/>
    <n v="37676"/>
    <n v="113028"/>
    <n v="54094"/>
    <n v="14194"/>
    <n v="44740"/>
    <n v="50"/>
    <x v="1"/>
    <s v="Friday"/>
    <d v="2023-07-09T00:00:00"/>
    <d v="2023-07-01T00:00:00"/>
    <x v="0"/>
    <d v="2023-07-01T00:00:00"/>
    <n v="2023"/>
  </r>
  <r>
    <x v="915"/>
    <x v="0"/>
    <x v="0"/>
    <s v="ART041"/>
    <d v="2023-03-28T00:00:00"/>
    <x v="1"/>
    <x v="2"/>
    <n v="5"/>
    <n v="57813"/>
    <n v="289065"/>
    <n v="149275"/>
    <n v="54753"/>
    <n v="85037"/>
    <n v="15"/>
    <x v="4"/>
    <s v="Tuesday"/>
    <d v="2023-03-26T00:00:00"/>
    <d v="2023-01-01T00:00:00"/>
    <x v="2"/>
    <d v="2023-03-01T00:00:00"/>
    <n v="2023"/>
  </r>
  <r>
    <x v="916"/>
    <x v="3"/>
    <x v="2"/>
    <s v="ART016"/>
    <d v="2023-05-30T00:00:00"/>
    <x v="1"/>
    <x v="2"/>
    <n v="3"/>
    <n v="60181"/>
    <n v="180543"/>
    <n v="95277"/>
    <n v="29034"/>
    <n v="56232"/>
    <n v="27"/>
    <x v="2"/>
    <s v="Tuesday"/>
    <d v="2023-05-28T00:00:00"/>
    <d v="2023-04-01T00:00:00"/>
    <x v="4"/>
    <d v="2023-05-01T00:00:00"/>
    <n v="2023"/>
  </r>
  <r>
    <x v="917"/>
    <x v="1"/>
    <x v="0"/>
    <s v="ART011"/>
    <d v="2023-04-12T00:00:00"/>
    <x v="2"/>
    <x v="4"/>
    <n v="4"/>
    <n v="7675"/>
    <n v="30700"/>
    <n v="14979"/>
    <n v="3378"/>
    <n v="12343"/>
    <n v="21"/>
    <x v="1"/>
    <s v="Wednesday"/>
    <d v="2023-04-09T00:00:00"/>
    <d v="2023-04-01T00:00:00"/>
    <x v="5"/>
    <d v="2023-04-01T00:00:00"/>
    <n v="2023"/>
  </r>
  <r>
    <x v="918"/>
    <x v="0"/>
    <x v="0"/>
    <s v="ART017"/>
    <d v="2023-10-30T00:00:00"/>
    <x v="1"/>
    <x v="5"/>
    <n v="6"/>
    <n v="14963"/>
    <n v="89778"/>
    <n v="36379"/>
    <n v="11716"/>
    <n v="41683"/>
    <n v="7"/>
    <x v="3"/>
    <s v="Monday"/>
    <d v="2023-10-29T00:00:00"/>
    <d v="2023-10-01T00:00:00"/>
    <x v="3"/>
    <d v="2023-10-01T00:00:00"/>
    <n v="2023"/>
  </r>
  <r>
    <x v="919"/>
    <x v="0"/>
    <x v="0"/>
    <s v="ART045"/>
    <d v="2023-03-09T00:00:00"/>
    <x v="2"/>
    <x v="4"/>
    <n v="10"/>
    <n v="35195"/>
    <n v="351950"/>
    <n v="136552"/>
    <n v="53051"/>
    <n v="162347"/>
    <n v="13"/>
    <x v="3"/>
    <s v="Thursday"/>
    <d v="2023-03-05T00:00:00"/>
    <d v="2023-01-01T00:00:00"/>
    <x v="2"/>
    <d v="2023-03-01T00:00:00"/>
    <n v="2023"/>
  </r>
  <r>
    <x v="920"/>
    <x v="2"/>
    <x v="1"/>
    <s v="ART013"/>
    <d v="2023-04-17T00:00:00"/>
    <x v="1"/>
    <x v="6"/>
    <n v="1"/>
    <n v="29333"/>
    <n v="29333"/>
    <n v="14517"/>
    <n v="4426"/>
    <n v="10390"/>
    <n v="14"/>
    <x v="0"/>
    <s v="Monday"/>
    <d v="2023-04-16T00:00:00"/>
    <d v="2023-04-01T00:00:00"/>
    <x v="5"/>
    <d v="2023-04-01T00:00:00"/>
    <n v="2023"/>
  </r>
  <r>
    <x v="921"/>
    <x v="3"/>
    <x v="2"/>
    <s v="ART049"/>
    <d v="2023-09-23T00:00:00"/>
    <x v="0"/>
    <x v="5"/>
    <n v="8"/>
    <n v="35598"/>
    <n v="284784"/>
    <n v="104463"/>
    <n v="54898"/>
    <n v="125423"/>
    <n v="37"/>
    <x v="1"/>
    <s v="Saturday"/>
    <d v="2023-09-17T00:00:00"/>
    <d v="2023-07-01T00:00:00"/>
    <x v="9"/>
    <d v="2023-09-01T00:00:00"/>
    <n v="2023"/>
  </r>
  <r>
    <x v="922"/>
    <x v="2"/>
    <x v="1"/>
    <s v="ART027"/>
    <d v="2023-02-20T00:00:00"/>
    <x v="0"/>
    <x v="6"/>
    <n v="8"/>
    <n v="46296"/>
    <n v="370368"/>
    <n v="150411"/>
    <n v="71220"/>
    <n v="148737"/>
    <n v="24"/>
    <x v="4"/>
    <s v="Monday"/>
    <d v="2023-02-19T00:00:00"/>
    <d v="2023-01-01T00:00:00"/>
    <x v="6"/>
    <d v="2023-02-01T00:00:00"/>
    <n v="2023"/>
  </r>
  <r>
    <x v="923"/>
    <x v="2"/>
    <x v="1"/>
    <s v="ART035"/>
    <d v="2023-04-11T00:00:00"/>
    <x v="2"/>
    <x v="6"/>
    <n v="10"/>
    <n v="51661"/>
    <n v="516610"/>
    <n v="299830"/>
    <n v="79815"/>
    <n v="136965"/>
    <n v="12"/>
    <x v="1"/>
    <s v="Tuesday"/>
    <d v="2023-04-09T00:00:00"/>
    <d v="2023-04-01T00:00:00"/>
    <x v="5"/>
    <d v="2023-04-01T00:00:00"/>
    <n v="2023"/>
  </r>
  <r>
    <x v="924"/>
    <x v="2"/>
    <x v="1"/>
    <s v="ART008"/>
    <d v="2023-09-02T00:00:00"/>
    <x v="0"/>
    <x v="5"/>
    <n v="10"/>
    <n v="56900"/>
    <n v="569000"/>
    <n v="319208"/>
    <n v="89728"/>
    <n v="160064"/>
    <n v="2"/>
    <x v="3"/>
    <s v="Saturday"/>
    <d v="2023-08-27T00:00:00"/>
    <d v="2023-07-01T00:00:00"/>
    <x v="9"/>
    <d v="2023-09-01T00:00:00"/>
    <n v="2023"/>
  </r>
  <r>
    <x v="925"/>
    <x v="1"/>
    <x v="0"/>
    <s v="ART015"/>
    <d v="2023-11-23T00:00:00"/>
    <x v="0"/>
    <x v="0"/>
    <n v="6"/>
    <n v="35824"/>
    <n v="214944"/>
    <n v="127619"/>
    <n v="28087"/>
    <n v="59238"/>
    <n v="14"/>
    <x v="2"/>
    <s v="Thursday"/>
    <d v="2023-11-19T00:00:00"/>
    <d v="2023-10-01T00:00:00"/>
    <x v="10"/>
    <d v="2023-11-01T00:00:00"/>
    <n v="2023"/>
  </r>
  <r>
    <x v="926"/>
    <x v="3"/>
    <x v="2"/>
    <s v="ART042"/>
    <d v="2023-06-05T00:00:00"/>
    <x v="0"/>
    <x v="4"/>
    <n v="4"/>
    <n v="58879"/>
    <n v="235516"/>
    <n v="116114"/>
    <n v="42898"/>
    <n v="76504"/>
    <n v="35"/>
    <x v="1"/>
    <s v="Monday"/>
    <d v="2023-06-04T00:00:00"/>
    <d v="2023-04-01T00:00:00"/>
    <x v="1"/>
    <d v="2023-06-01T00:00:00"/>
    <n v="2023"/>
  </r>
  <r>
    <x v="927"/>
    <x v="4"/>
    <x v="2"/>
    <s v="ART006"/>
    <d v="2023-06-07T00:00:00"/>
    <x v="0"/>
    <x v="5"/>
    <n v="4"/>
    <n v="50222"/>
    <n v="200888"/>
    <n v="70582"/>
    <n v="23602"/>
    <n v="106704"/>
    <n v="8"/>
    <x v="4"/>
    <s v="Wednesday"/>
    <d v="2023-06-04T00:00:00"/>
    <d v="2023-04-01T00:00:00"/>
    <x v="1"/>
    <d v="2023-06-01T00:00:00"/>
    <n v="2023"/>
  </r>
  <r>
    <x v="928"/>
    <x v="3"/>
    <x v="2"/>
    <s v="ART023"/>
    <d v="2023-04-15T00:00:00"/>
    <x v="1"/>
    <x v="4"/>
    <n v="2"/>
    <n v="11632"/>
    <n v="23264"/>
    <n v="9117"/>
    <n v="4543"/>
    <n v="9604"/>
    <n v="37"/>
    <x v="1"/>
    <s v="Saturday"/>
    <d v="2023-04-09T00:00:00"/>
    <d v="2023-04-01T00:00:00"/>
    <x v="5"/>
    <d v="2023-04-01T00:00:00"/>
    <n v="2023"/>
  </r>
  <r>
    <x v="929"/>
    <x v="0"/>
    <x v="0"/>
    <s v="ART026"/>
    <d v="2023-10-27T00:00:00"/>
    <x v="0"/>
    <x v="1"/>
    <n v="1"/>
    <n v="50567"/>
    <n v="50567"/>
    <n v="17499"/>
    <n v="7245"/>
    <n v="25823"/>
    <n v="50"/>
    <x v="0"/>
    <s v="Friday"/>
    <d v="2023-10-22T00:00:00"/>
    <d v="2023-10-01T00:00:00"/>
    <x v="3"/>
    <d v="2023-10-01T00:00:00"/>
    <n v="2023"/>
  </r>
  <r>
    <x v="930"/>
    <x v="1"/>
    <x v="0"/>
    <s v="ART001"/>
    <d v="2023-04-12T00:00:00"/>
    <x v="3"/>
    <x v="5"/>
    <n v="10"/>
    <n v="45044"/>
    <n v="450440"/>
    <n v="230784"/>
    <n v="70821"/>
    <n v="148835"/>
    <n v="36"/>
    <x v="1"/>
    <s v="Wednesday"/>
    <d v="2023-04-09T00:00:00"/>
    <d v="2023-04-01T00:00:00"/>
    <x v="5"/>
    <d v="2023-04-01T00:00:00"/>
    <n v="2023"/>
  </r>
  <r>
    <x v="931"/>
    <x v="4"/>
    <x v="2"/>
    <s v="ART011"/>
    <d v="2023-05-02T00:00:00"/>
    <x v="0"/>
    <x v="0"/>
    <n v="8"/>
    <n v="34196"/>
    <n v="273568"/>
    <n v="112321"/>
    <n v="28533"/>
    <n v="132714"/>
    <n v="22"/>
    <x v="4"/>
    <s v="Tuesday"/>
    <d v="2023-04-30T00:00:00"/>
    <d v="2023-04-01T00:00:00"/>
    <x v="4"/>
    <d v="2023-05-01T00:00:00"/>
    <n v="2023"/>
  </r>
  <r>
    <x v="932"/>
    <x v="3"/>
    <x v="2"/>
    <s v="ART007"/>
    <d v="2023-01-09T00:00:00"/>
    <x v="1"/>
    <x v="0"/>
    <n v="2"/>
    <n v="42128"/>
    <n v="84256"/>
    <n v="47297"/>
    <n v="15862"/>
    <n v="21097"/>
    <n v="44"/>
    <x v="0"/>
    <s v="Monday"/>
    <d v="2023-01-08T00:00:00"/>
    <d v="2023-01-01T00:00:00"/>
    <x v="8"/>
    <d v="2023-01-01T00:00:00"/>
    <n v="2023"/>
  </r>
  <r>
    <x v="933"/>
    <x v="2"/>
    <x v="1"/>
    <s v="ART020"/>
    <d v="2023-10-22T00:00:00"/>
    <x v="1"/>
    <x v="3"/>
    <n v="2"/>
    <n v="29105"/>
    <n v="58210"/>
    <n v="30055"/>
    <n v="7911"/>
    <n v="20244"/>
    <n v="3"/>
    <x v="3"/>
    <s v="Sunday"/>
    <d v="2023-10-22T00:00:00"/>
    <d v="2023-10-01T00:00:00"/>
    <x v="3"/>
    <d v="2023-10-01T00:00:00"/>
    <n v="2023"/>
  </r>
  <r>
    <x v="934"/>
    <x v="1"/>
    <x v="0"/>
    <s v="ART050"/>
    <d v="2023-02-14T00:00:00"/>
    <x v="2"/>
    <x v="6"/>
    <n v="2"/>
    <n v="23015"/>
    <n v="46030"/>
    <n v="21405"/>
    <n v="7989"/>
    <n v="16636"/>
    <n v="0"/>
    <x v="4"/>
    <s v="Tuesday"/>
    <d v="2023-02-12T00:00:00"/>
    <d v="2023-01-01T00:00:00"/>
    <x v="6"/>
    <d v="2023-02-01T00:00:00"/>
    <n v="2023"/>
  </r>
  <r>
    <x v="935"/>
    <x v="0"/>
    <x v="0"/>
    <s v="ART036"/>
    <d v="2023-04-26T00:00:00"/>
    <x v="0"/>
    <x v="5"/>
    <n v="9"/>
    <n v="11229"/>
    <n v="101061"/>
    <n v="60635"/>
    <n v="17750"/>
    <n v="22676"/>
    <n v="47"/>
    <x v="0"/>
    <s v="Wednesday"/>
    <d v="2023-04-23T00:00:00"/>
    <d v="2023-04-01T00:00:00"/>
    <x v="5"/>
    <d v="2023-04-01T00:00:00"/>
    <n v="2023"/>
  </r>
  <r>
    <x v="936"/>
    <x v="3"/>
    <x v="2"/>
    <s v="ART030"/>
    <d v="2023-01-13T00:00:00"/>
    <x v="1"/>
    <x v="3"/>
    <n v="5"/>
    <n v="60442"/>
    <n v="302210"/>
    <n v="145019"/>
    <n v="34403"/>
    <n v="122788"/>
    <n v="10"/>
    <x v="2"/>
    <s v="Friday"/>
    <d v="2023-01-08T00:00:00"/>
    <d v="2023-01-01T00:00:00"/>
    <x v="8"/>
    <d v="2023-01-01T00:00:00"/>
    <n v="2023"/>
  </r>
  <r>
    <x v="937"/>
    <x v="2"/>
    <x v="1"/>
    <s v="ART039"/>
    <d v="2023-10-20T00:00:00"/>
    <x v="2"/>
    <x v="5"/>
    <n v="6"/>
    <n v="33652"/>
    <n v="201912"/>
    <n v="75817"/>
    <n v="31074"/>
    <n v="95021"/>
    <n v="12"/>
    <x v="4"/>
    <s v="Friday"/>
    <d v="2023-10-15T00:00:00"/>
    <d v="2023-10-01T00:00:00"/>
    <x v="3"/>
    <d v="2023-10-01T00:00:00"/>
    <n v="2023"/>
  </r>
  <r>
    <x v="938"/>
    <x v="3"/>
    <x v="2"/>
    <s v="ART022"/>
    <d v="2023-02-07T00:00:00"/>
    <x v="2"/>
    <x v="3"/>
    <n v="3"/>
    <n v="20156"/>
    <n v="60468"/>
    <n v="29755"/>
    <n v="6866"/>
    <n v="23847"/>
    <n v="14"/>
    <x v="4"/>
    <s v="Tuesday"/>
    <d v="2023-02-05T00:00:00"/>
    <d v="2023-01-01T00:00:00"/>
    <x v="6"/>
    <d v="2023-02-01T00:00:00"/>
    <n v="2023"/>
  </r>
  <r>
    <x v="939"/>
    <x v="3"/>
    <x v="2"/>
    <s v="ART012"/>
    <d v="2023-10-22T00:00:00"/>
    <x v="2"/>
    <x v="1"/>
    <n v="9"/>
    <n v="23858"/>
    <n v="214722"/>
    <n v="120526"/>
    <n v="30489"/>
    <n v="63707"/>
    <n v="31"/>
    <x v="3"/>
    <s v="Sunday"/>
    <d v="2023-10-22T00:00:00"/>
    <d v="2023-10-01T00:00:00"/>
    <x v="3"/>
    <d v="2023-10-01T00:00:00"/>
    <n v="2023"/>
  </r>
  <r>
    <x v="940"/>
    <x v="3"/>
    <x v="2"/>
    <s v="ART008"/>
    <d v="2023-05-17T00:00:00"/>
    <x v="0"/>
    <x v="6"/>
    <n v="10"/>
    <n v="37763"/>
    <n v="377630"/>
    <n v="170963"/>
    <n v="60635"/>
    <n v="146032"/>
    <n v="7"/>
    <x v="2"/>
    <s v="Wednesday"/>
    <d v="2023-05-14T00:00:00"/>
    <d v="2023-04-01T00:00:00"/>
    <x v="4"/>
    <d v="2023-05-01T00:00:00"/>
    <n v="2023"/>
  </r>
  <r>
    <x v="941"/>
    <x v="1"/>
    <x v="0"/>
    <s v="ART029"/>
    <d v="2023-01-08T00:00:00"/>
    <x v="2"/>
    <x v="5"/>
    <n v="3"/>
    <n v="49207"/>
    <n v="147621"/>
    <n v="54854"/>
    <n v="20598"/>
    <n v="72169"/>
    <n v="11"/>
    <x v="1"/>
    <s v="Sunday"/>
    <d v="2023-01-08T00:00:00"/>
    <d v="2023-01-01T00:00:00"/>
    <x v="8"/>
    <d v="2023-01-01T00:00:00"/>
    <n v="2023"/>
  </r>
  <r>
    <x v="942"/>
    <x v="1"/>
    <x v="0"/>
    <s v="ART017"/>
    <d v="2023-02-04T00:00:00"/>
    <x v="3"/>
    <x v="1"/>
    <n v="4"/>
    <n v="21967"/>
    <n v="87868"/>
    <n v="38316"/>
    <n v="15752"/>
    <n v="33800"/>
    <n v="44"/>
    <x v="4"/>
    <s v="Saturday"/>
    <d v="2023-01-29T00:00:00"/>
    <d v="2023-01-01T00:00:00"/>
    <x v="6"/>
    <d v="2023-02-01T00:00:00"/>
    <n v="2023"/>
  </r>
  <r>
    <x v="943"/>
    <x v="2"/>
    <x v="1"/>
    <s v="ART044"/>
    <d v="2023-09-04T00:00:00"/>
    <x v="1"/>
    <x v="1"/>
    <n v="8"/>
    <n v="35429"/>
    <n v="283432"/>
    <n v="168358"/>
    <n v="37806"/>
    <n v="77268"/>
    <n v="5"/>
    <x v="2"/>
    <s v="Monday"/>
    <d v="2023-09-03T00:00:00"/>
    <d v="2023-07-01T00:00:00"/>
    <x v="9"/>
    <d v="2023-09-01T00:00:00"/>
    <n v="2023"/>
  </r>
  <r>
    <x v="944"/>
    <x v="3"/>
    <x v="2"/>
    <s v="ART014"/>
    <d v="2023-08-17T00:00:00"/>
    <x v="0"/>
    <x v="5"/>
    <n v="5"/>
    <n v="19182"/>
    <n v="95910"/>
    <n v="52903"/>
    <n v="19153"/>
    <n v="23854"/>
    <n v="27"/>
    <x v="2"/>
    <s v="Thursday"/>
    <d v="2023-08-13T00:00:00"/>
    <d v="2023-07-01T00:00:00"/>
    <x v="7"/>
    <d v="2023-08-01T00:00:00"/>
    <n v="2023"/>
  </r>
  <r>
    <x v="945"/>
    <x v="0"/>
    <x v="0"/>
    <s v="ART049"/>
    <d v="2023-05-08T00:00:00"/>
    <x v="2"/>
    <x v="6"/>
    <n v="5"/>
    <n v="56990"/>
    <n v="284950"/>
    <n v="154622"/>
    <n v="42282"/>
    <n v="88046"/>
    <n v="42"/>
    <x v="2"/>
    <s v="Monday"/>
    <d v="2023-05-07T00:00:00"/>
    <d v="2023-04-01T00:00:00"/>
    <x v="4"/>
    <d v="2023-05-01T00:00:00"/>
    <n v="2023"/>
  </r>
  <r>
    <x v="946"/>
    <x v="1"/>
    <x v="0"/>
    <s v="ART024"/>
    <d v="2023-06-29T00:00:00"/>
    <x v="3"/>
    <x v="2"/>
    <n v="7"/>
    <n v="2931"/>
    <n v="20517"/>
    <n v="6292"/>
    <n v="3224"/>
    <n v="11001"/>
    <n v="16"/>
    <x v="0"/>
    <s v="Thursday"/>
    <d v="2023-06-25T00:00:00"/>
    <d v="2023-04-01T00:00:00"/>
    <x v="1"/>
    <d v="2023-06-01T00:00:00"/>
    <n v="2023"/>
  </r>
  <r>
    <x v="947"/>
    <x v="2"/>
    <x v="1"/>
    <s v="ART003"/>
    <d v="2023-10-30T00:00:00"/>
    <x v="3"/>
    <x v="3"/>
    <n v="8"/>
    <n v="13413"/>
    <n v="107304"/>
    <n v="37637"/>
    <n v="20687"/>
    <n v="48980"/>
    <n v="43"/>
    <x v="2"/>
    <s v="Monday"/>
    <d v="2023-10-29T00:00:00"/>
    <d v="2023-10-01T00:00:00"/>
    <x v="3"/>
    <d v="2023-10-01T00:00:00"/>
    <n v="2023"/>
  </r>
  <r>
    <x v="948"/>
    <x v="2"/>
    <x v="1"/>
    <s v="ART043"/>
    <d v="2023-04-15T00:00:00"/>
    <x v="0"/>
    <x v="6"/>
    <n v="2"/>
    <n v="65086"/>
    <n v="130172"/>
    <n v="75832"/>
    <n v="17066"/>
    <n v="37274"/>
    <n v="13"/>
    <x v="4"/>
    <s v="Saturday"/>
    <d v="2023-04-09T00:00:00"/>
    <d v="2023-04-01T00:00:00"/>
    <x v="5"/>
    <d v="2023-04-01T00:00:00"/>
    <n v="2023"/>
  </r>
  <r>
    <x v="949"/>
    <x v="0"/>
    <x v="0"/>
    <s v="ART023"/>
    <d v="2023-01-04T00:00:00"/>
    <x v="3"/>
    <x v="2"/>
    <n v="1"/>
    <n v="57227"/>
    <n v="57227"/>
    <n v="21037"/>
    <n v="5750"/>
    <n v="30440"/>
    <n v="13"/>
    <x v="3"/>
    <s v="Wednesday"/>
    <d v="2023-01-01T00:00:00"/>
    <d v="2023-01-01T00:00:00"/>
    <x v="8"/>
    <d v="2023-01-01T00:00:00"/>
    <n v="2023"/>
  </r>
  <r>
    <x v="950"/>
    <x v="2"/>
    <x v="1"/>
    <s v="ART033"/>
    <d v="2023-11-13T00:00:00"/>
    <x v="2"/>
    <x v="0"/>
    <n v="10"/>
    <n v="26866"/>
    <n v="268660"/>
    <n v="130926"/>
    <n v="27887"/>
    <n v="109847"/>
    <n v="5"/>
    <x v="1"/>
    <s v="Monday"/>
    <d v="2023-11-12T00:00:00"/>
    <d v="2023-10-01T00:00:00"/>
    <x v="10"/>
    <d v="2023-11-01T00:00:00"/>
    <n v="2023"/>
  </r>
  <r>
    <x v="951"/>
    <x v="4"/>
    <x v="2"/>
    <s v="ART012"/>
    <d v="2023-03-28T00:00:00"/>
    <x v="1"/>
    <x v="2"/>
    <n v="9"/>
    <n v="24995"/>
    <n v="224955"/>
    <n v="88859"/>
    <n v="31518"/>
    <n v="104578"/>
    <n v="19"/>
    <x v="0"/>
    <s v="Tuesday"/>
    <d v="2023-03-26T00:00:00"/>
    <d v="2023-01-01T00:00:00"/>
    <x v="2"/>
    <d v="2023-03-01T00:00:00"/>
    <n v="2023"/>
  </r>
  <r>
    <x v="952"/>
    <x v="4"/>
    <x v="2"/>
    <s v="ART007"/>
    <d v="2023-11-06T00:00:00"/>
    <x v="3"/>
    <x v="2"/>
    <n v="9"/>
    <n v="63240"/>
    <n v="569160"/>
    <n v="328723"/>
    <n v="92591"/>
    <n v="147846"/>
    <n v="40"/>
    <x v="0"/>
    <s v="Monday"/>
    <d v="2023-11-05T00:00:00"/>
    <d v="2023-10-01T00:00:00"/>
    <x v="10"/>
    <d v="2023-11-01T00:00:00"/>
    <n v="2023"/>
  </r>
  <r>
    <x v="953"/>
    <x v="2"/>
    <x v="1"/>
    <s v="ART028"/>
    <d v="2023-03-20T00:00:00"/>
    <x v="3"/>
    <x v="2"/>
    <n v="8"/>
    <n v="45179"/>
    <n v="361432"/>
    <n v="147860"/>
    <n v="38566"/>
    <n v="175006"/>
    <n v="5"/>
    <x v="2"/>
    <s v="Monday"/>
    <d v="2023-03-19T00:00:00"/>
    <d v="2023-01-01T00:00:00"/>
    <x v="2"/>
    <d v="2023-03-01T00:00:00"/>
    <n v="2023"/>
  </r>
  <r>
    <x v="954"/>
    <x v="1"/>
    <x v="0"/>
    <s v="ART043"/>
    <d v="2023-09-25T00:00:00"/>
    <x v="1"/>
    <x v="4"/>
    <n v="1"/>
    <n v="52154"/>
    <n v="52154"/>
    <n v="29742"/>
    <n v="9634"/>
    <n v="12778"/>
    <n v="9"/>
    <x v="0"/>
    <s v="Monday"/>
    <d v="2023-09-24T00:00:00"/>
    <d v="2023-07-01T00:00:00"/>
    <x v="9"/>
    <d v="2023-09-01T00:00:00"/>
    <n v="2023"/>
  </r>
  <r>
    <x v="955"/>
    <x v="3"/>
    <x v="2"/>
    <s v="ART022"/>
    <d v="2023-05-24T00:00:00"/>
    <x v="0"/>
    <x v="1"/>
    <n v="6"/>
    <n v="22770"/>
    <n v="136620"/>
    <n v="47904"/>
    <n v="24471"/>
    <n v="64245"/>
    <n v="26"/>
    <x v="1"/>
    <s v="Wednesday"/>
    <d v="2023-05-21T00:00:00"/>
    <d v="2023-04-01T00:00:00"/>
    <x v="4"/>
    <d v="2023-05-01T00:00:00"/>
    <n v="2023"/>
  </r>
  <r>
    <x v="956"/>
    <x v="1"/>
    <x v="0"/>
    <s v="ART018"/>
    <d v="2023-08-13T00:00:00"/>
    <x v="3"/>
    <x v="1"/>
    <n v="4"/>
    <n v="16129"/>
    <n v="64516"/>
    <n v="37667"/>
    <n v="11844"/>
    <n v="15005"/>
    <n v="22"/>
    <x v="3"/>
    <s v="Sunday"/>
    <d v="2023-08-13T00:00:00"/>
    <d v="2023-07-01T00:00:00"/>
    <x v="7"/>
    <d v="2023-08-01T00:00:00"/>
    <n v="2023"/>
  </r>
  <r>
    <x v="957"/>
    <x v="2"/>
    <x v="1"/>
    <s v="ART024"/>
    <d v="2023-02-28T00:00:00"/>
    <x v="2"/>
    <x v="6"/>
    <n v="4"/>
    <n v="31362"/>
    <n v="125448"/>
    <n v="66724"/>
    <n v="20737"/>
    <n v="37987"/>
    <n v="13"/>
    <x v="2"/>
    <s v="Tuesday"/>
    <d v="2023-02-26T00:00:00"/>
    <d v="2023-01-01T00:00:00"/>
    <x v="6"/>
    <d v="2023-02-01T00:00:00"/>
    <n v="2023"/>
  </r>
  <r>
    <x v="958"/>
    <x v="2"/>
    <x v="1"/>
    <s v="ART023"/>
    <d v="2023-06-20T00:00:00"/>
    <x v="3"/>
    <x v="5"/>
    <n v="3"/>
    <n v="5279"/>
    <n v="15837"/>
    <n v="5760"/>
    <n v="1944"/>
    <n v="8133"/>
    <n v="14"/>
    <x v="0"/>
    <s v="Tuesday"/>
    <d v="2023-06-18T00:00:00"/>
    <d v="2023-04-01T00:00:00"/>
    <x v="1"/>
    <d v="2023-06-01T00:00:00"/>
    <n v="2023"/>
  </r>
  <r>
    <x v="959"/>
    <x v="2"/>
    <x v="1"/>
    <s v="ART046"/>
    <d v="2023-09-28T00:00:00"/>
    <x v="1"/>
    <x v="5"/>
    <n v="10"/>
    <n v="59566"/>
    <n v="595660"/>
    <n v="210688"/>
    <n v="106503"/>
    <n v="278469"/>
    <n v="16"/>
    <x v="3"/>
    <s v="Thursday"/>
    <d v="2023-09-24T00:00:00"/>
    <d v="2023-07-01T00:00:00"/>
    <x v="9"/>
    <d v="2023-09-01T00:00:00"/>
    <n v="2023"/>
  </r>
  <r>
    <x v="960"/>
    <x v="0"/>
    <x v="0"/>
    <s v="ART035"/>
    <d v="2023-11-09T00:00:00"/>
    <x v="1"/>
    <x v="5"/>
    <n v="10"/>
    <n v="6183"/>
    <n v="61830"/>
    <n v="23117"/>
    <n v="10947"/>
    <n v="27766"/>
    <n v="12"/>
    <x v="4"/>
    <s v="Thursday"/>
    <d v="2023-11-05T00:00:00"/>
    <d v="2023-10-01T00:00:00"/>
    <x v="10"/>
    <d v="2023-11-01T00:00:00"/>
    <n v="2023"/>
  </r>
  <r>
    <x v="961"/>
    <x v="4"/>
    <x v="2"/>
    <s v="ART007"/>
    <d v="2023-02-04T00:00:00"/>
    <x v="2"/>
    <x v="5"/>
    <n v="5"/>
    <n v="41742"/>
    <n v="208710"/>
    <n v="65719"/>
    <n v="27640"/>
    <n v="115351"/>
    <n v="24"/>
    <x v="4"/>
    <s v="Saturday"/>
    <d v="2023-01-29T00:00:00"/>
    <d v="2023-01-01T00:00:00"/>
    <x v="6"/>
    <d v="2023-02-01T00:00:00"/>
    <n v="2023"/>
  </r>
  <r>
    <x v="962"/>
    <x v="0"/>
    <x v="0"/>
    <s v="ART039"/>
    <d v="2023-09-26T00:00:00"/>
    <x v="0"/>
    <x v="0"/>
    <n v="10"/>
    <n v="32578"/>
    <n v="325780"/>
    <n v="112685"/>
    <n v="51953"/>
    <n v="161142"/>
    <n v="34"/>
    <x v="1"/>
    <s v="Tuesday"/>
    <d v="2023-09-24T00:00:00"/>
    <d v="2023-07-01T00:00:00"/>
    <x v="9"/>
    <d v="2023-09-01T00:00:00"/>
    <n v="2023"/>
  </r>
  <r>
    <x v="963"/>
    <x v="1"/>
    <x v="0"/>
    <s v="ART021"/>
    <d v="2023-05-02T00:00:00"/>
    <x v="2"/>
    <x v="4"/>
    <n v="5"/>
    <n v="66936"/>
    <n v="334680"/>
    <n v="145968"/>
    <n v="50638"/>
    <n v="138074"/>
    <n v="42"/>
    <x v="1"/>
    <s v="Tuesday"/>
    <d v="2023-04-30T00:00:00"/>
    <d v="2023-04-01T00:00:00"/>
    <x v="4"/>
    <d v="2023-05-01T00:00:00"/>
    <n v="2023"/>
  </r>
  <r>
    <x v="964"/>
    <x v="3"/>
    <x v="2"/>
    <s v="ART036"/>
    <d v="2023-07-03T00:00:00"/>
    <x v="0"/>
    <x v="4"/>
    <n v="3"/>
    <n v="32380"/>
    <n v="97140"/>
    <n v="56233"/>
    <n v="12978"/>
    <n v="27929"/>
    <n v="2"/>
    <x v="3"/>
    <s v="Monday"/>
    <d v="2023-07-02T00:00:00"/>
    <d v="2023-07-01T00:00:00"/>
    <x v="0"/>
    <d v="2023-07-01T00:00:00"/>
    <n v="2023"/>
  </r>
  <r>
    <x v="965"/>
    <x v="2"/>
    <x v="1"/>
    <s v="ART034"/>
    <d v="2023-08-15T00:00:00"/>
    <x v="2"/>
    <x v="5"/>
    <n v="3"/>
    <n v="52556"/>
    <n v="157668"/>
    <n v="75087"/>
    <n v="22216"/>
    <n v="60365"/>
    <n v="20"/>
    <x v="3"/>
    <s v="Tuesday"/>
    <d v="2023-08-13T00:00:00"/>
    <d v="2023-07-01T00:00:00"/>
    <x v="7"/>
    <d v="2023-08-01T00:00:00"/>
    <n v="2023"/>
  </r>
  <r>
    <x v="966"/>
    <x v="4"/>
    <x v="2"/>
    <s v="ART022"/>
    <d v="2023-06-09T00:00:00"/>
    <x v="1"/>
    <x v="1"/>
    <n v="5"/>
    <n v="24952"/>
    <n v="124760"/>
    <n v="40711"/>
    <n v="17618"/>
    <n v="66431"/>
    <n v="48"/>
    <x v="0"/>
    <s v="Friday"/>
    <d v="2023-06-04T00:00:00"/>
    <d v="2023-04-01T00:00:00"/>
    <x v="1"/>
    <d v="2023-06-01T00:00:00"/>
    <n v="2023"/>
  </r>
  <r>
    <x v="967"/>
    <x v="3"/>
    <x v="2"/>
    <s v="ART011"/>
    <d v="2023-03-26T00:00:00"/>
    <x v="0"/>
    <x v="5"/>
    <n v="7"/>
    <n v="48580"/>
    <n v="340060"/>
    <n v="175876"/>
    <n v="51324"/>
    <n v="112860"/>
    <n v="0"/>
    <x v="4"/>
    <s v="Sunday"/>
    <d v="2023-03-26T00:00:00"/>
    <d v="2023-01-01T00:00:00"/>
    <x v="2"/>
    <d v="2023-03-01T00:00:00"/>
    <n v="2023"/>
  </r>
  <r>
    <x v="968"/>
    <x v="1"/>
    <x v="0"/>
    <s v="ART043"/>
    <d v="2023-01-13T00:00:00"/>
    <x v="1"/>
    <x v="0"/>
    <n v="7"/>
    <n v="53355"/>
    <n v="373485"/>
    <n v="222324"/>
    <n v="38618"/>
    <n v="112543"/>
    <n v="18"/>
    <x v="3"/>
    <s v="Friday"/>
    <d v="2023-01-08T00:00:00"/>
    <d v="2023-01-01T00:00:00"/>
    <x v="8"/>
    <d v="2023-01-01T00:00:00"/>
    <n v="2023"/>
  </r>
  <r>
    <x v="969"/>
    <x v="0"/>
    <x v="0"/>
    <s v="ART008"/>
    <d v="2023-05-11T00:00:00"/>
    <x v="0"/>
    <x v="3"/>
    <n v="3"/>
    <n v="40207"/>
    <n v="120621"/>
    <n v="41124"/>
    <n v="12077"/>
    <n v="67420"/>
    <n v="39"/>
    <x v="4"/>
    <s v="Thursday"/>
    <d v="2023-05-07T00:00:00"/>
    <d v="2023-04-01T00:00:00"/>
    <x v="4"/>
    <d v="2023-05-01T00:00:00"/>
    <n v="2023"/>
  </r>
  <r>
    <x v="970"/>
    <x v="3"/>
    <x v="2"/>
    <s v="ART039"/>
    <d v="2023-03-04T00:00:00"/>
    <x v="1"/>
    <x v="6"/>
    <n v="4"/>
    <n v="16312"/>
    <n v="65248"/>
    <n v="25435"/>
    <n v="9830"/>
    <n v="29983"/>
    <n v="36"/>
    <x v="0"/>
    <s v="Saturday"/>
    <d v="2023-02-26T00:00:00"/>
    <d v="2023-01-01T00:00:00"/>
    <x v="2"/>
    <d v="2023-03-01T00:00:00"/>
    <n v="2023"/>
  </r>
  <r>
    <x v="971"/>
    <x v="2"/>
    <x v="1"/>
    <s v="ART038"/>
    <d v="2023-11-19T00:00:00"/>
    <x v="1"/>
    <x v="3"/>
    <n v="4"/>
    <n v="44763"/>
    <n v="179052"/>
    <n v="84130"/>
    <n v="33942"/>
    <n v="60980"/>
    <n v="10"/>
    <x v="0"/>
    <s v="Sunday"/>
    <d v="2023-11-19T00:00:00"/>
    <d v="2023-10-01T00:00:00"/>
    <x v="10"/>
    <d v="2023-11-01T00:00:00"/>
    <n v="2023"/>
  </r>
  <r>
    <x v="972"/>
    <x v="2"/>
    <x v="1"/>
    <s v="ART035"/>
    <d v="2023-11-10T00:00:00"/>
    <x v="0"/>
    <x v="6"/>
    <n v="5"/>
    <n v="23056"/>
    <n v="115280"/>
    <n v="44180"/>
    <n v="19967"/>
    <n v="51133"/>
    <n v="29"/>
    <x v="1"/>
    <s v="Friday"/>
    <d v="2023-11-05T00:00:00"/>
    <d v="2023-10-01T00:00:00"/>
    <x v="10"/>
    <d v="2023-11-01T00:00:00"/>
    <n v="2023"/>
  </r>
  <r>
    <x v="973"/>
    <x v="2"/>
    <x v="1"/>
    <s v="ART012"/>
    <d v="2023-01-24T00:00:00"/>
    <x v="1"/>
    <x v="3"/>
    <n v="7"/>
    <n v="50601"/>
    <n v="354207"/>
    <n v="129017"/>
    <n v="66924"/>
    <n v="158266"/>
    <n v="4"/>
    <x v="1"/>
    <s v="Tuesday"/>
    <d v="2023-01-22T00:00:00"/>
    <d v="2023-01-01T00:00:00"/>
    <x v="8"/>
    <d v="2023-01-01T00:00:00"/>
    <n v="2023"/>
  </r>
  <r>
    <x v="974"/>
    <x v="1"/>
    <x v="0"/>
    <s v="ART039"/>
    <d v="2023-01-15T00:00:00"/>
    <x v="3"/>
    <x v="1"/>
    <n v="5"/>
    <n v="16050"/>
    <n v="80250"/>
    <n v="27637"/>
    <n v="15298"/>
    <n v="37315"/>
    <n v="27"/>
    <x v="2"/>
    <s v="Sunday"/>
    <d v="2023-01-15T00:00:00"/>
    <d v="2023-01-01T00:00:00"/>
    <x v="8"/>
    <d v="2023-01-01T00:00:00"/>
    <n v="2023"/>
  </r>
  <r>
    <x v="975"/>
    <x v="4"/>
    <x v="2"/>
    <s v="ART037"/>
    <d v="2023-01-27T00:00:00"/>
    <x v="2"/>
    <x v="5"/>
    <n v="10"/>
    <n v="49986"/>
    <n v="499860"/>
    <n v="258955"/>
    <n v="75233"/>
    <n v="165672"/>
    <n v="50"/>
    <x v="1"/>
    <s v="Friday"/>
    <d v="2023-01-22T00:00:00"/>
    <d v="2023-01-01T00:00:00"/>
    <x v="8"/>
    <d v="2023-01-01T00:00:00"/>
    <n v="2023"/>
  </r>
  <r>
    <x v="976"/>
    <x v="0"/>
    <x v="0"/>
    <s v="ART037"/>
    <d v="2023-07-05T00:00:00"/>
    <x v="1"/>
    <x v="2"/>
    <n v="3"/>
    <n v="6388"/>
    <n v="19164"/>
    <n v="10674"/>
    <n v="2486"/>
    <n v="6004"/>
    <n v="46"/>
    <x v="0"/>
    <s v="Wednesday"/>
    <d v="2023-07-02T00:00:00"/>
    <d v="2023-07-01T00:00:00"/>
    <x v="0"/>
    <d v="2023-07-01T00:00:00"/>
    <n v="2023"/>
  </r>
  <r>
    <x v="977"/>
    <x v="3"/>
    <x v="2"/>
    <s v="ART033"/>
    <d v="2023-09-22T00:00:00"/>
    <x v="2"/>
    <x v="1"/>
    <n v="3"/>
    <n v="38340"/>
    <n v="115020"/>
    <n v="57737"/>
    <n v="15966"/>
    <n v="41317"/>
    <n v="12"/>
    <x v="1"/>
    <s v="Friday"/>
    <d v="2023-09-17T00:00:00"/>
    <d v="2023-07-01T00:00:00"/>
    <x v="9"/>
    <d v="2023-09-01T00:00:00"/>
    <n v="2023"/>
  </r>
  <r>
    <x v="978"/>
    <x v="2"/>
    <x v="1"/>
    <s v="ART038"/>
    <d v="2023-05-24T00:00:00"/>
    <x v="3"/>
    <x v="6"/>
    <n v="3"/>
    <n v="61167"/>
    <n v="183501"/>
    <n v="69736"/>
    <n v="32716"/>
    <n v="81049"/>
    <n v="49"/>
    <x v="2"/>
    <s v="Wednesday"/>
    <d v="2023-05-21T00:00:00"/>
    <d v="2023-04-01T00:00:00"/>
    <x v="4"/>
    <d v="2023-05-01T00:00:00"/>
    <n v="2023"/>
  </r>
  <r>
    <x v="979"/>
    <x v="2"/>
    <x v="1"/>
    <s v="ART037"/>
    <d v="2023-01-28T00:00:00"/>
    <x v="2"/>
    <x v="1"/>
    <n v="10"/>
    <n v="23640"/>
    <n v="236400"/>
    <n v="102257"/>
    <n v="46518"/>
    <n v="87625"/>
    <n v="5"/>
    <x v="3"/>
    <s v="Saturday"/>
    <d v="2023-01-22T00:00:00"/>
    <d v="2023-01-01T00:00:00"/>
    <x v="8"/>
    <d v="2023-01-01T00:00:00"/>
    <n v="2023"/>
  </r>
  <r>
    <x v="980"/>
    <x v="3"/>
    <x v="2"/>
    <s v="ART010"/>
    <d v="2023-10-30T00:00:00"/>
    <x v="0"/>
    <x v="0"/>
    <n v="5"/>
    <n v="40355"/>
    <n v="201775"/>
    <n v="103581"/>
    <n v="39200"/>
    <n v="58994"/>
    <n v="19"/>
    <x v="4"/>
    <s v="Monday"/>
    <d v="2023-10-29T00:00:00"/>
    <d v="2023-10-01T00:00:00"/>
    <x v="3"/>
    <d v="2023-10-01T00:00:00"/>
    <n v="2023"/>
  </r>
  <r>
    <x v="981"/>
    <x v="2"/>
    <x v="1"/>
    <s v="ART044"/>
    <d v="2023-03-20T00:00:00"/>
    <x v="1"/>
    <x v="2"/>
    <n v="4"/>
    <n v="64268"/>
    <n v="257072"/>
    <n v="111555"/>
    <n v="34256"/>
    <n v="111261"/>
    <n v="39"/>
    <x v="4"/>
    <s v="Monday"/>
    <d v="2023-03-19T00:00:00"/>
    <d v="2023-01-01T00:00:00"/>
    <x v="2"/>
    <d v="2023-03-01T00:00:00"/>
    <n v="2023"/>
  </r>
  <r>
    <x v="982"/>
    <x v="1"/>
    <x v="0"/>
    <s v="ART025"/>
    <d v="2023-01-13T00:00:00"/>
    <x v="3"/>
    <x v="6"/>
    <n v="5"/>
    <n v="57277"/>
    <n v="286385"/>
    <n v="130073"/>
    <n v="56701"/>
    <n v="99611"/>
    <n v="26"/>
    <x v="1"/>
    <s v="Friday"/>
    <d v="2023-01-08T00:00:00"/>
    <d v="2023-01-01T00:00:00"/>
    <x v="8"/>
    <d v="2023-01-01T00:00:00"/>
    <n v="2023"/>
  </r>
  <r>
    <x v="983"/>
    <x v="3"/>
    <x v="2"/>
    <s v="ART006"/>
    <d v="2023-08-23T00:00:00"/>
    <x v="3"/>
    <x v="6"/>
    <n v="2"/>
    <n v="28005"/>
    <n v="56010"/>
    <n v="27278"/>
    <n v="11168"/>
    <n v="17564"/>
    <n v="42"/>
    <x v="0"/>
    <s v="Wednesday"/>
    <d v="2023-08-20T00:00:00"/>
    <d v="2023-07-01T00:00:00"/>
    <x v="7"/>
    <d v="2023-08-01T00:00:00"/>
    <n v="2023"/>
  </r>
  <r>
    <x v="984"/>
    <x v="0"/>
    <x v="0"/>
    <s v="ART025"/>
    <d v="2023-07-31T00:00:00"/>
    <x v="1"/>
    <x v="6"/>
    <n v="8"/>
    <n v="67105"/>
    <n v="536840"/>
    <n v="242861"/>
    <n v="73349"/>
    <n v="220630"/>
    <n v="21"/>
    <x v="2"/>
    <s v="Monday"/>
    <d v="2023-07-30T00:00:00"/>
    <d v="2023-07-01T00:00:00"/>
    <x v="0"/>
    <d v="2023-07-01T00:00:00"/>
    <n v="2023"/>
  </r>
  <r>
    <x v="985"/>
    <x v="0"/>
    <x v="0"/>
    <s v="ART004"/>
    <d v="2023-01-10T00:00:00"/>
    <x v="0"/>
    <x v="4"/>
    <n v="2"/>
    <n v="48814"/>
    <n v="97628"/>
    <n v="39401"/>
    <n v="13568"/>
    <n v="44659"/>
    <n v="31"/>
    <x v="0"/>
    <s v="Tuesday"/>
    <d v="2023-01-08T00:00:00"/>
    <d v="2023-01-01T00:00:00"/>
    <x v="8"/>
    <d v="2023-01-01T00:00:00"/>
    <n v="2023"/>
  </r>
  <r>
    <x v="986"/>
    <x v="4"/>
    <x v="2"/>
    <s v="ART029"/>
    <d v="2023-05-04T00:00:00"/>
    <x v="3"/>
    <x v="0"/>
    <n v="9"/>
    <n v="19763"/>
    <n v="177867"/>
    <n v="60085"/>
    <n v="23253"/>
    <n v="94529"/>
    <n v="0"/>
    <x v="2"/>
    <s v="Thursday"/>
    <d v="2023-04-30T00:00:00"/>
    <d v="2023-04-01T00:00:00"/>
    <x v="4"/>
    <d v="2023-05-01T00:00:00"/>
    <n v="2023"/>
  </r>
  <r>
    <x v="987"/>
    <x v="3"/>
    <x v="2"/>
    <s v="ART042"/>
    <d v="2023-07-18T00:00:00"/>
    <x v="0"/>
    <x v="6"/>
    <n v="8"/>
    <n v="7927"/>
    <n v="63416"/>
    <n v="34937"/>
    <n v="8334"/>
    <n v="20145"/>
    <n v="27"/>
    <x v="4"/>
    <s v="Tuesday"/>
    <d v="2023-07-16T00:00:00"/>
    <d v="2023-07-01T00:00:00"/>
    <x v="0"/>
    <d v="2023-07-01T00:00:00"/>
    <n v="2023"/>
  </r>
  <r>
    <x v="988"/>
    <x v="4"/>
    <x v="2"/>
    <s v="ART015"/>
    <d v="2023-01-02T00:00:00"/>
    <x v="1"/>
    <x v="0"/>
    <n v="10"/>
    <n v="57236"/>
    <n v="572360"/>
    <n v="182011"/>
    <n v="89851"/>
    <n v="300498"/>
    <n v="16"/>
    <x v="4"/>
    <s v="Monday"/>
    <d v="2023-01-01T00:00:00"/>
    <d v="2023-01-01T00:00:00"/>
    <x v="8"/>
    <d v="2023-01-01T00:00:00"/>
    <n v="2023"/>
  </r>
  <r>
    <x v="989"/>
    <x v="2"/>
    <x v="1"/>
    <s v="ART019"/>
    <d v="2023-06-28T00:00:00"/>
    <x v="0"/>
    <x v="3"/>
    <n v="7"/>
    <n v="64549"/>
    <n v="451843"/>
    <n v="199152"/>
    <n v="53046"/>
    <n v="199645"/>
    <n v="6"/>
    <x v="1"/>
    <s v="Wednesday"/>
    <d v="2023-06-25T00:00:00"/>
    <d v="2023-04-01T00:00:00"/>
    <x v="1"/>
    <d v="2023-06-01T00:00:00"/>
    <n v="2023"/>
  </r>
  <r>
    <x v="990"/>
    <x v="3"/>
    <x v="2"/>
    <s v="ART043"/>
    <d v="2023-01-29T00:00:00"/>
    <x v="0"/>
    <x v="4"/>
    <n v="3"/>
    <n v="40450"/>
    <n v="121350"/>
    <n v="50581"/>
    <n v="14340"/>
    <n v="56429"/>
    <n v="22"/>
    <x v="4"/>
    <s v="Sunday"/>
    <d v="2023-01-29T00:00:00"/>
    <d v="2023-01-01T00:00:00"/>
    <x v="8"/>
    <d v="2023-01-01T00:00:00"/>
    <n v="2023"/>
  </r>
  <r>
    <x v="991"/>
    <x v="1"/>
    <x v="0"/>
    <s v="ART045"/>
    <d v="2023-09-13T00:00:00"/>
    <x v="0"/>
    <x v="0"/>
    <n v="3"/>
    <n v="51716"/>
    <n v="155148"/>
    <n v="68728"/>
    <n v="19294"/>
    <n v="67126"/>
    <n v="11"/>
    <x v="3"/>
    <s v="Wednesday"/>
    <d v="2023-09-10T00:00:00"/>
    <d v="2023-07-01T00:00:00"/>
    <x v="9"/>
    <d v="2023-09-01T00:00:00"/>
    <n v="2023"/>
  </r>
  <r>
    <x v="992"/>
    <x v="3"/>
    <x v="2"/>
    <s v="ART041"/>
    <d v="2023-10-22T00:00:00"/>
    <x v="3"/>
    <x v="2"/>
    <n v="10"/>
    <n v="55128"/>
    <n v="551280"/>
    <n v="174206"/>
    <n v="65013"/>
    <n v="312061"/>
    <n v="50"/>
    <x v="3"/>
    <s v="Sunday"/>
    <d v="2023-10-22T00:00:00"/>
    <d v="2023-10-01T00:00:00"/>
    <x v="3"/>
    <d v="2023-10-01T00:00:00"/>
    <n v="2023"/>
  </r>
  <r>
    <x v="993"/>
    <x v="1"/>
    <x v="0"/>
    <s v="ART020"/>
    <d v="2023-11-09T00:00:00"/>
    <x v="2"/>
    <x v="1"/>
    <n v="8"/>
    <n v="48218"/>
    <n v="385744"/>
    <n v="219557"/>
    <n v="54119"/>
    <n v="112068"/>
    <n v="36"/>
    <x v="3"/>
    <s v="Thursday"/>
    <d v="2023-11-05T00:00:00"/>
    <d v="2023-10-01T00:00:00"/>
    <x v="10"/>
    <d v="2023-11-01T00:00:00"/>
    <n v="2023"/>
  </r>
  <r>
    <x v="994"/>
    <x v="1"/>
    <x v="0"/>
    <s v="ART028"/>
    <d v="2023-06-07T00:00:00"/>
    <x v="2"/>
    <x v="4"/>
    <n v="2"/>
    <n v="58314"/>
    <n v="116628"/>
    <n v="39360"/>
    <n v="15785"/>
    <n v="61483"/>
    <n v="14"/>
    <x v="3"/>
    <s v="Wednesday"/>
    <d v="2023-06-04T00:00:00"/>
    <d v="2023-04-01T00:00:00"/>
    <x v="1"/>
    <d v="2023-06-01T00:00:00"/>
    <n v="2023"/>
  </r>
  <r>
    <x v="995"/>
    <x v="0"/>
    <x v="0"/>
    <s v="ART013"/>
    <d v="2023-08-28T00:00:00"/>
    <x v="0"/>
    <x v="4"/>
    <n v="2"/>
    <n v="34906"/>
    <n v="69812"/>
    <n v="32188"/>
    <n v="13219"/>
    <n v="24405"/>
    <n v="31"/>
    <x v="2"/>
    <s v="Monday"/>
    <d v="2023-08-27T00:00:00"/>
    <d v="2023-07-01T00:00:00"/>
    <x v="7"/>
    <d v="2023-08-01T00:00:00"/>
    <n v="2023"/>
  </r>
  <r>
    <x v="996"/>
    <x v="2"/>
    <x v="1"/>
    <s v="ART026"/>
    <d v="2023-11-13T00:00:00"/>
    <x v="2"/>
    <x v="4"/>
    <n v="9"/>
    <n v="43246"/>
    <n v="389214"/>
    <n v="225589"/>
    <n v="45303"/>
    <n v="118322"/>
    <n v="8"/>
    <x v="1"/>
    <s v="Monday"/>
    <d v="2023-11-12T00:00:00"/>
    <d v="2023-10-01T00:00:00"/>
    <x v="10"/>
    <d v="2023-11-01T00:00:00"/>
    <n v="2023"/>
  </r>
  <r>
    <x v="997"/>
    <x v="2"/>
    <x v="1"/>
    <s v="ART032"/>
    <d v="2023-09-17T00:00:00"/>
    <x v="3"/>
    <x v="2"/>
    <n v="6"/>
    <n v="16945"/>
    <n v="101670"/>
    <n v="50694"/>
    <n v="13281"/>
    <n v="37695"/>
    <n v="14"/>
    <x v="3"/>
    <s v="Sunday"/>
    <d v="2023-09-17T00:00:00"/>
    <d v="2023-07-01T00:00:00"/>
    <x v="9"/>
    <d v="2023-09-01T00:00:00"/>
    <n v="20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162F37-A4FE-496D-955C-52BACB94A987}" name="PivotTable14"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chartFormat="9">
  <location ref="Y1:Z3" firstHeaderRow="2" firstDataRow="2" firstDataCol="1"/>
  <pivotFields count="22">
    <pivotField axis="axisRow" compact="0" outline="0" showAll="0" measureFilter="1">
      <items count="99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997"/>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t="default"/>
      </items>
    </pivotField>
    <pivotField compact="0" outline="0" showAll="0">
      <items count="6">
        <item x="0"/>
        <item x="2"/>
        <item x="4"/>
        <item x="3"/>
        <item x="1"/>
        <item t="default"/>
      </items>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items count="6">
        <item h="1" x="2"/>
        <item h="1" x="0"/>
        <item h="1" x="1"/>
        <item h="1" x="3"/>
        <item x="4"/>
        <item t="default"/>
      </items>
    </pivotField>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0"/>
  </rowFields>
  <rowItems count="1">
    <i>
      <x v="81"/>
    </i>
  </rowItems>
  <colItems count="1">
    <i/>
  </colItems>
  <dataFields count="1">
    <dataField name="Sum of Total Revenue" fld="9" baseField="0" baseItem="0"/>
  </dataFields>
  <pivotTableStyleInfo name="PivotStyleLight16" showRowHeaders="1" showColHeaders="1" showRowStripes="0" showColStripes="0" showLastColumn="1"/>
  <filters count="1">
    <filter fld="0"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96DECC9-EB8D-4598-ABE3-A95695F9A081}" name="PivotTable13"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chartFormat="9">
  <location ref="V1:W7" firstHeaderRow="1" firstDataRow="2" firstDataCol="1"/>
  <pivotFields count="22">
    <pivotField compact="0" outline="0" showAll="0"/>
    <pivotField axis="axisRow" compact="0" outline="0" showAll="0" sortType="descending">
      <items count="6">
        <item x="0"/>
        <item x="2"/>
        <item x="4"/>
        <item x="3"/>
        <item x="1"/>
        <item t="default"/>
      </items>
      <autoSortScope>
        <pivotArea dataOnly="0" outline="0" fieldPosition="0">
          <references count="2">
            <reference field="4294967294" count="1" selected="0">
              <x v="0"/>
            </reference>
            <reference field="14" count="1" selected="0">
              <x v="4"/>
            </reference>
          </references>
        </pivotArea>
      </autoSortScope>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6">
        <item h="1" x="2"/>
        <item h="1" x="0"/>
        <item h="1" x="1"/>
        <item h="1" x="3"/>
        <item x="4"/>
        <item t="default"/>
      </items>
    </pivotField>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
  </rowFields>
  <rowItems count="5">
    <i>
      <x v="2"/>
    </i>
    <i>
      <x v="3"/>
    </i>
    <i>
      <x v="4"/>
    </i>
    <i>
      <x/>
    </i>
    <i>
      <x v="1"/>
    </i>
  </rowItems>
  <colFields count="1">
    <field x="14"/>
  </colFields>
  <colItems count="1">
    <i>
      <x v="4"/>
    </i>
  </colItems>
  <dataFields count="1">
    <dataField name="Count of Customer Feedback" fld="1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3F01B0-B196-473A-8310-D8A1E569B33A}" name="PivotTable12" cacheId="3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9">
  <location ref="S1:T8" firstHeaderRow="2" firstDataRow="2" firstDataCol="1"/>
  <pivotFields count="22">
    <pivotField compact="0" outline="0" showAll="0"/>
    <pivotField axis="axisRow" compact="0" outline="0" showAll="0" sortType="descending">
      <items count="6">
        <item x="0"/>
        <item x="2"/>
        <item x="4"/>
        <item x="3"/>
        <item x="1"/>
        <item t="default"/>
      </items>
      <autoSortScope>
        <pivotArea dataOnly="0" outline="0" fieldPosition="0">
          <references count="1">
            <reference field="4294967294" count="1" selected="0">
              <x v="0"/>
            </reference>
          </references>
        </pivotArea>
      </autoSortScope>
    </pivotField>
    <pivotField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
  </rowFields>
  <rowItems count="6">
    <i>
      <x/>
    </i>
    <i>
      <x v="2"/>
    </i>
    <i>
      <x v="4"/>
    </i>
    <i>
      <x v="1"/>
    </i>
    <i>
      <x v="3"/>
    </i>
    <i t="grand">
      <x/>
    </i>
  </rowItems>
  <colItems count="1">
    <i/>
  </colItems>
  <dataFields count="1">
    <dataField name="Sum of Total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E7BAF9-EA7A-40D2-B186-5D1E9A839FC7}" name="PivotTable11" cacheId="3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1">
  <location ref="O1:P7" firstHeaderRow="2" firstDataRow="2" firstDataCol="1"/>
  <pivotFields count="22">
    <pivotField compact="0" outline="0" showAll="0"/>
    <pivotField compact="0" outline="0" showAll="0"/>
    <pivotField compact="0" outline="0" showAll="0">
      <items count="4">
        <item x="2"/>
        <item x="1"/>
        <item x="0"/>
        <item t="default"/>
      </items>
    </pivotField>
    <pivotField compact="0" outline="0" showAll="0"/>
    <pivotField compact="0" numFmtId="14" outline="0" showAll="0"/>
    <pivotField axis="axisRow" compact="0" outline="0" showAll="0">
      <items count="5">
        <item x="1"/>
        <item x="0"/>
        <item x="2"/>
        <item x="3"/>
        <item t="default"/>
      </items>
    </pivotField>
    <pivotField compact="0" outline="0" showAll="0">
      <items count="8">
        <item x="6"/>
        <item x="5"/>
        <item x="0"/>
        <item x="4"/>
        <item x="1"/>
        <item x="3"/>
        <item x="2"/>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5"/>
  </rowFields>
  <rowItems count="5">
    <i>
      <x/>
    </i>
    <i>
      <x v="1"/>
    </i>
    <i>
      <x v="2"/>
    </i>
    <i>
      <x v="3"/>
    </i>
    <i t="grand">
      <x/>
    </i>
  </rowItems>
  <colItems count="1">
    <i/>
  </colItems>
  <dataFields count="1">
    <dataField name="Sum of Units Sold" fld="7" showDataAs="percentOfCol" baseField="0" baseItem="0" numFmtId="10"/>
  </dataFields>
  <chartFormats count="5">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0" format="8">
      <pivotArea type="data" outline="0" fieldPosition="0">
        <references count="2">
          <reference field="4294967294" count="1" selected="0">
            <x v="0"/>
          </reference>
          <reference field="5" count="1" selected="0">
            <x v="1"/>
          </reference>
        </references>
      </pivotArea>
    </chartFormat>
    <chartFormat chart="10" format="9">
      <pivotArea type="data" outline="0" fieldPosition="0">
        <references count="2">
          <reference field="4294967294" count="1" selected="0">
            <x v="0"/>
          </reference>
          <reference field="5" count="1" selected="0">
            <x v="2"/>
          </reference>
        </references>
      </pivotArea>
    </chartFormat>
    <chartFormat chart="10"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0DFE3F3-AC8E-4973-8B8F-39B01E871DA2}" name="PivotTable10" cacheId="3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1">
  <location ref="K1:M6" firstHeaderRow="1" firstDataRow="2" firstDataCol="1"/>
  <pivotFields count="22">
    <pivotField compact="0" outline="0" showAll="0"/>
    <pivotField compact="0" outline="0" showAll="0"/>
    <pivotField axis="axisRow" compact="0" outline="0" showAll="0">
      <items count="4">
        <item x="2"/>
        <item x="1"/>
        <item x="0"/>
        <item t="default"/>
      </items>
    </pivotField>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2"/>
  </rowFields>
  <rowItems count="4">
    <i>
      <x/>
    </i>
    <i>
      <x v="1"/>
    </i>
    <i>
      <x v="2"/>
    </i>
    <i t="grand">
      <x/>
    </i>
  </rowItems>
  <colFields count="1">
    <field x="-2"/>
  </colFields>
  <colItems count="2">
    <i>
      <x/>
    </i>
    <i i="1">
      <x v="1"/>
    </i>
  </colItems>
  <dataFields count="2">
    <dataField name="Sum of Total Revenue" fld="9" baseField="0" baseItem="0"/>
    <dataField name="Sum of Profit" fld="12" baseField="0" baseItem="0"/>
  </dataFields>
  <chartFormats count="4">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CBAE6B0-BBBB-417E-A265-A9C3306DF23C}" name="PivotTable9" cacheId="3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chartFormat="12">
  <location ref="G1:I14" firstHeaderRow="1" firstDataRow="2" firstDataCol="1"/>
  <pivotFields count="22">
    <pivotField compact="0" outline="0" showAll="0"/>
    <pivotField compact="0" outline="0" showAll="0"/>
    <pivotField compact="0" outline="0" showAll="0"/>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axis="axisRow" compact="0" outline="0" showAll="0">
      <items count="12">
        <item x="8"/>
        <item x="6"/>
        <item x="2"/>
        <item x="5"/>
        <item x="4"/>
        <item x="1"/>
        <item x="0"/>
        <item x="7"/>
        <item x="9"/>
        <item x="3"/>
        <item x="10"/>
        <item t="default"/>
      </items>
    </pivotField>
    <pivotField compact="0" numFmtId="14" outline="0" showAll="0"/>
    <pivotField compact="0" outline="0" showAll="0"/>
    <pivotField compact="0" outline="0" subtotalTop="0" dragToRow="0" dragToCol="0" dragToPage="0" showAll="0" defaultSubtotal="0"/>
  </pivotFields>
  <rowFields count="1">
    <field x="18"/>
  </rowFields>
  <rowItems count="12">
    <i>
      <x/>
    </i>
    <i>
      <x v="1"/>
    </i>
    <i>
      <x v="2"/>
    </i>
    <i>
      <x v="3"/>
    </i>
    <i>
      <x v="4"/>
    </i>
    <i>
      <x v="5"/>
    </i>
    <i>
      <x v="6"/>
    </i>
    <i>
      <x v="7"/>
    </i>
    <i>
      <x v="8"/>
    </i>
    <i>
      <x v="9"/>
    </i>
    <i>
      <x v="10"/>
    </i>
    <i t="grand">
      <x/>
    </i>
  </rowItems>
  <colFields count="1">
    <field x="-2"/>
  </colFields>
  <colItems count="2">
    <i>
      <x/>
    </i>
    <i i="1">
      <x v="1"/>
    </i>
  </colItems>
  <dataFields count="2">
    <dataField name="Profits" fld="12" baseField="0" baseItem="0"/>
    <dataField name="Revenue" fld="9" baseField="0" baseItem="0"/>
  </dataFields>
  <chartFormats count="2">
    <chartFormat chart="11" format="11"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27BD1FA-2459-4DED-85BF-AE4CAFC6C8AD}" name="PivotTable8" cacheId="33" applyNumberFormats="0" applyBorderFormats="0" applyFontFormats="0" applyPatternFormats="0" applyAlignmentFormats="0" applyWidthHeightFormats="1" dataCaption="Values" updatedVersion="8" minRefreshableVersion="3" useAutoFormatting="1" itemPrintTitles="1" createdVersion="8" indent="0" compact="0" compactData="0" gridDropZones="1" multipleFieldFilters="0">
  <location ref="A1:E3" firstHeaderRow="1" firstDataRow="2" firstDataCol="1"/>
  <pivotFields count="22">
    <pivotField compact="0" outline="0" showAll="0"/>
    <pivotField compact="0" outline="0" showAll="0"/>
    <pivotField compact="0" outline="0" showAll="0"/>
    <pivotField compact="0" outline="0" showAll="0"/>
    <pivotField compact="0" numFmtId="14" outline="0" showAll="0"/>
    <pivotField compact="0" outline="0" showAll="0">
      <items count="5">
        <item x="1"/>
        <item x="0"/>
        <item x="2"/>
        <item x="3"/>
        <item t="default"/>
      </items>
    </pivotField>
    <pivotField compact="0" outline="0" showAll="0">
      <items count="8">
        <item x="6"/>
        <item x="5"/>
        <item x="0"/>
        <item x="4"/>
        <item x="1"/>
        <item x="3"/>
        <item x="2"/>
        <item t="default"/>
      </items>
    </pivotField>
    <pivotField dataField="1" compact="0" outline="0" showAll="0"/>
    <pivotField compact="0" outline="0" showAll="0"/>
    <pivotField dataField="1"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4" outline="0" showAll="0"/>
    <pivotField compact="0" numFmtId="14" outline="0" showAll="0"/>
    <pivotField compact="0" outline="0" showAll="0"/>
    <pivotField compact="0" numFmtId="14" outline="0" showAll="0"/>
    <pivotField compact="0" outline="0" showAll="0"/>
    <pivotField dataField="1" compact="0" outline="0" subtotalTop="0" dragToRow="0" dragToCol="0" dragToPage="0" showAll="0" defaultSubtotal="0"/>
  </pivotFields>
  <rowItems count="1">
    <i/>
  </rowItems>
  <colFields count="1">
    <field x="-2"/>
  </colFields>
  <colItems count="4">
    <i>
      <x/>
    </i>
    <i i="1">
      <x v="1"/>
    </i>
    <i i="2">
      <x v="2"/>
    </i>
    <i i="3">
      <x v="3"/>
    </i>
  </colItems>
  <dataFields count="4">
    <dataField name="Revenue" fld="9" baseField="0" baseItem="0"/>
    <dataField name="Total Profit" fld="12" baseField="0" baseItem="0" numFmtId="1"/>
    <dataField name="Profit %" fld="21" baseField="0" baseItem="0" numFmtId="9"/>
    <dataField name="Total Units Sold" fld="7" baseField="0" baseItem="0"/>
  </dataFields>
  <formats count="3">
    <format dxfId="2">
      <pivotArea outline="0" fieldPosition="0">
        <references count="1">
          <reference field="4294967294" count="1" selected="0">
            <x v="1"/>
          </reference>
        </references>
      </pivotArea>
    </format>
    <format dxfId="1">
      <pivotArea outline="0" collapsedLevelsAreSubtotals="1" fieldPosition="0"/>
    </format>
    <format dxfId="0">
      <pivotArea outline="0"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476323F-1072-458A-82C6-8958A4330C5E}" autoFormatId="16" applyNumberFormats="0" applyBorderFormats="0" applyFontFormats="0" applyPatternFormats="0" applyAlignmentFormats="0" applyWidthHeightFormats="0">
  <queryTableRefresh nextId="22">
    <queryTableFields count="21">
      <queryTableField id="1" name="Order ID" tableColumnId="1"/>
      <queryTableField id="2" name="Product Name" tableColumnId="2"/>
      <queryTableField id="3" name="Category" tableColumnId="3"/>
      <queryTableField id="4" name="Artisan ID" tableColumnId="4"/>
      <queryTableField id="5" name="Sales Date" tableColumnId="5"/>
      <queryTableField id="6" name="Sales Channel" tableColumnId="6"/>
      <queryTableField id="7" name="Customer Location" tableColumnId="7"/>
      <queryTableField id="8" name="Units Sold" tableColumnId="8"/>
      <queryTableField id="9" name="Unit Price" tableColumnId="9"/>
      <queryTableField id="10" name="Total Revenue" tableColumnId="10"/>
      <queryTableField id="11" name="Material Cost" tableColumnId="11"/>
      <queryTableField id="12" name="Artisan Payment" tableColumnId="12"/>
      <queryTableField id="13" name="Profit" tableColumnId="13"/>
      <queryTableField id="14" name="Stock Remaining" tableColumnId="14"/>
      <queryTableField id="15" name="Customer Feedback" tableColumnId="15"/>
      <queryTableField id="16" name="Day Name" tableColumnId="16"/>
      <queryTableField id="17" name="Start of Week" tableColumnId="17"/>
      <queryTableField id="18" name="Start of Quarter" tableColumnId="18"/>
      <queryTableField id="19" name="Month Name" tableColumnId="19"/>
      <queryTableField id="20" name="Start of Month" tableColumnId="20"/>
      <queryTableField id="21" name="Year"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1" xr10:uid="{9C5BB845-C73C-47D8-B59F-352B2DD7BDDB}" sourceName="Sales Channel">
  <pivotTables>
    <pivotTable tabId="1" name="PivotTable11"/>
    <pivotTable tabId="1" name="PivotTable10"/>
    <pivotTable tabId="1" name="PivotTable12"/>
    <pivotTable tabId="1" name="PivotTable13"/>
    <pivotTable tabId="1" name="PivotTable14"/>
    <pivotTable tabId="1" name="PivotTable8"/>
    <pivotTable tabId="1" name="PivotTable9"/>
  </pivotTables>
  <data>
    <tabular pivotCacheId="1995379011">
      <items count="4">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Location1" xr10:uid="{5033DEA7-5872-4762-B378-B649925CDCB0}" sourceName="Customer Location">
  <pivotTables>
    <pivotTable tabId="1" name="PivotTable11"/>
    <pivotTable tabId="1" name="PivotTable10"/>
    <pivotTable tabId="1" name="PivotTable12"/>
    <pivotTable tabId="1" name="PivotTable13"/>
    <pivotTable tabId="1" name="PivotTable14"/>
    <pivotTable tabId="1" name="PivotTable8"/>
    <pivotTable tabId="1" name="PivotTable9"/>
  </pivotTables>
  <data>
    <tabular pivotCacheId="1995379011">
      <items count="7">
        <i x="6" s="1"/>
        <i x="5" s="1"/>
        <i x="0" s="1"/>
        <i x="4"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1" xr10:uid="{9E0B4F5E-FBC0-459F-9285-E445EEDAFE69}" cache="Slicer_Sales_Channel1" caption="Sales Channel" rowHeight="234950"/>
  <slicer name="City" xr10:uid="{43E5163E-9A54-42EE-BC7B-06D90ADC1E24}" cache="Slicer_Customer_Location1" caption="City"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B2D3EB-8B01-4CC3-8549-6D0D1222962B}" name="Alankrit_Sales_Data" displayName="Alankrit_Sales_Data" ref="A2:U1000" tableType="queryTable" totalsRowShown="0">
  <autoFilter ref="A2:U1000" xr:uid="{9EB2D3EB-8B01-4CC3-8549-6D0D1222962B}"/>
  <tableColumns count="21">
    <tableColumn id="1" xr3:uid="{160BFD6B-7205-4C65-814E-6B6F0D6FFDD4}" uniqueName="1" name="Order ID" queryTableFieldId="1" dataDxfId="15"/>
    <tableColumn id="2" xr3:uid="{FD03FB64-9439-4F42-A93F-11A9E73A7A6E}" uniqueName="2" name="Product Name" queryTableFieldId="2" dataDxfId="14"/>
    <tableColumn id="3" xr3:uid="{A79043EA-AAE8-413C-BFDB-2FE7433BB90D}" uniqueName="3" name="Category" queryTableFieldId="3" dataDxfId="13"/>
    <tableColumn id="4" xr3:uid="{A8B0DD11-4EDE-4317-B593-61BC008BDF10}" uniqueName="4" name="Artisan ID" queryTableFieldId="4" dataDxfId="12"/>
    <tableColumn id="5" xr3:uid="{9F85963D-B3A7-43CF-8ED5-A8CCB958E62E}" uniqueName="5" name="Sales Date" queryTableFieldId="5" dataDxfId="11"/>
    <tableColumn id="6" xr3:uid="{6C4D182E-AF50-4431-905F-06B5B42B976A}" uniqueName="6" name="Sales Channel" queryTableFieldId="6" dataDxfId="10"/>
    <tableColumn id="7" xr3:uid="{4FD6047D-85C4-4A2F-B9E4-73BDE0967186}" uniqueName="7" name="Customer Location" queryTableFieldId="7" dataDxfId="9"/>
    <tableColumn id="8" xr3:uid="{AE4AA028-99DE-4959-BF9D-5B8AB6A42687}" uniqueName="8" name="Units Sold" queryTableFieldId="8"/>
    <tableColumn id="9" xr3:uid="{858CB6E3-7EB9-4C65-A56C-067A29235A68}" uniqueName="9" name="Unit Price" queryTableFieldId="9"/>
    <tableColumn id="10" xr3:uid="{4C8BA119-C0AE-421B-864B-8E7B9090C7F7}" uniqueName="10" name="Total Revenue" queryTableFieldId="10"/>
    <tableColumn id="11" xr3:uid="{F60A9631-501B-4B70-8CE6-B85FBA0DFF37}" uniqueName="11" name="Material Cost" queryTableFieldId="11"/>
    <tableColumn id="12" xr3:uid="{214E359D-25D8-4F4E-9BB8-90812189383C}" uniqueName="12" name="Artisan Payment" queryTableFieldId="12"/>
    <tableColumn id="13" xr3:uid="{46352903-8C0A-4BBF-ADCE-7F74340936AE}" uniqueName="13" name="Profit" queryTableFieldId="13"/>
    <tableColumn id="14" xr3:uid="{679FEC87-4FCD-4E74-9F24-0EC600868D4A}" uniqueName="14" name="Stock Remaining" queryTableFieldId="14"/>
    <tableColumn id="15" xr3:uid="{3308615F-0069-449C-8993-3C345C64C88E}" uniqueName="15" name="Customer Feedback" queryTableFieldId="15" dataDxfId="8"/>
    <tableColumn id="16" xr3:uid="{53AE924D-FAA5-4571-8435-4CE9C0D08855}" uniqueName="16" name="Day Name" queryTableFieldId="16" dataDxfId="7"/>
    <tableColumn id="17" xr3:uid="{1FF1B667-27B2-4D77-859D-C5D0A1127839}" uniqueName="17" name="Start of Week" queryTableFieldId="17" dataDxfId="6"/>
    <tableColumn id="18" xr3:uid="{98C7E5C7-E712-4427-A715-257D0B74D728}" uniqueName="18" name="Start of Quarter" queryTableFieldId="18" dataDxfId="5"/>
    <tableColumn id="19" xr3:uid="{07E0EB26-E8F7-413D-9E4C-868BAB2D81AF}" uniqueName="19" name="Month Name" queryTableFieldId="19" dataDxfId="4"/>
    <tableColumn id="20" xr3:uid="{45F79324-B7B1-4FFD-9CCB-A122110434E5}" uniqueName="20" name="Start of Month" queryTableFieldId="20" dataDxfId="3"/>
    <tableColumn id="21" xr3:uid="{010FEE21-8DD1-4503-ADA0-F9B433AFB863}" uniqueName="21" name="Year" queryTableFieldId="21"/>
  </tableColumns>
  <tableStyleInfo name="TableStyleMedium9" showFirstColumn="0" showLastColumn="0" showRowStripes="1" showColumnStripes="0"/>
</table>
</file>

<file path=xl/theme/theme1.xml><?xml version="1.0" encoding="utf-8"?>
<a:theme xmlns:a="http://schemas.openxmlformats.org/drawingml/2006/main" name="Retrospect">
  <a:themeElements>
    <a:clrScheme name="Retrospect">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Retrospect">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1133C-294F-4B6C-89A4-ECFB975C2F27}">
  <dimension ref="A1:W1000"/>
  <sheetViews>
    <sheetView workbookViewId="0">
      <selection activeCell="A2" sqref="A2"/>
    </sheetView>
  </sheetViews>
  <sheetFormatPr defaultRowHeight="14.4" x14ac:dyDescent="0.3"/>
  <cols>
    <col min="1" max="1" width="10.21875" customWidth="1"/>
    <col min="2" max="2" width="23.6640625" customWidth="1"/>
    <col min="3" max="3" width="11.21875" customWidth="1"/>
    <col min="4" max="4" width="11.33203125" customWidth="1"/>
    <col min="5" max="5" width="11.77734375" customWidth="1"/>
    <col min="6" max="6" width="14.77734375" customWidth="1"/>
    <col min="7" max="7" width="19.109375" customWidth="1"/>
    <col min="8" max="8" width="11.6640625" customWidth="1"/>
    <col min="9" max="9" width="11.33203125" customWidth="1"/>
    <col min="10" max="10" width="15.33203125" customWidth="1"/>
    <col min="11" max="11" width="14.33203125" customWidth="1"/>
    <col min="12" max="12" width="17.21875" customWidth="1"/>
    <col min="13" max="13" width="7.88671875" customWidth="1"/>
    <col min="14" max="14" width="17.33203125" customWidth="1"/>
    <col min="15" max="15" width="20" customWidth="1"/>
    <col min="16" max="16" width="11.88671875" customWidth="1"/>
    <col min="17" max="17" width="14.6640625" customWidth="1"/>
    <col min="18" max="18" width="16.44140625" customWidth="1"/>
    <col min="19" max="19" width="14.44140625" customWidth="1"/>
    <col min="20" max="20" width="15.77734375" customWidth="1"/>
    <col min="21" max="21" width="6.88671875" customWidth="1"/>
    <col min="23" max="23" width="16.77734375" bestFit="1" customWidth="1"/>
  </cols>
  <sheetData>
    <row r="1" spans="1:23" ht="25.8" x14ac:dyDescent="0.5">
      <c r="A1" s="2" t="s">
        <v>1111</v>
      </c>
      <c r="B1" s="2"/>
      <c r="C1" s="2"/>
      <c r="D1" s="2"/>
      <c r="E1" s="2"/>
      <c r="F1" s="2"/>
      <c r="G1" s="2"/>
      <c r="H1" s="2"/>
      <c r="I1" s="2"/>
      <c r="J1" s="2"/>
      <c r="K1" s="2"/>
      <c r="L1" s="2"/>
      <c r="M1" s="2"/>
      <c r="N1" s="2"/>
      <c r="O1" s="2"/>
      <c r="P1" s="2"/>
      <c r="Q1" s="2"/>
      <c r="R1" s="2"/>
      <c r="S1" s="2"/>
      <c r="T1" s="2"/>
      <c r="U1" s="2"/>
    </row>
    <row r="2" spans="1:23" x14ac:dyDescent="0.3">
      <c r="A2" t="s">
        <v>0</v>
      </c>
      <c r="B2" t="s">
        <v>1</v>
      </c>
      <c r="C2" t="s">
        <v>2</v>
      </c>
      <c r="D2" t="s">
        <v>3</v>
      </c>
      <c r="E2" t="s">
        <v>4</v>
      </c>
      <c r="F2" t="s">
        <v>5</v>
      </c>
      <c r="G2" t="s">
        <v>6</v>
      </c>
      <c r="H2" t="s">
        <v>7</v>
      </c>
      <c r="I2" t="s">
        <v>8</v>
      </c>
      <c r="J2" t="s">
        <v>9</v>
      </c>
      <c r="K2" t="s">
        <v>10</v>
      </c>
      <c r="L2" t="s">
        <v>11</v>
      </c>
      <c r="M2" t="s">
        <v>12</v>
      </c>
      <c r="N2" t="s">
        <v>13</v>
      </c>
      <c r="O2" t="s">
        <v>14</v>
      </c>
      <c r="P2" t="s">
        <v>15</v>
      </c>
      <c r="Q2" t="s">
        <v>16</v>
      </c>
      <c r="R2" t="s">
        <v>17</v>
      </c>
      <c r="S2" t="s">
        <v>18</v>
      </c>
      <c r="T2" t="s">
        <v>19</v>
      </c>
      <c r="U2" t="s">
        <v>20</v>
      </c>
    </row>
    <row r="3" spans="1:23" x14ac:dyDescent="0.3">
      <c r="A3" t="s">
        <v>21</v>
      </c>
      <c r="B3" t="s">
        <v>22</v>
      </c>
      <c r="C3" t="s">
        <v>23</v>
      </c>
      <c r="D3" t="s">
        <v>24</v>
      </c>
      <c r="E3" s="1">
        <v>45130</v>
      </c>
      <c r="F3" t="s">
        <v>25</v>
      </c>
      <c r="G3" t="s">
        <v>26</v>
      </c>
      <c r="H3">
        <v>4</v>
      </c>
      <c r="I3">
        <v>24728</v>
      </c>
      <c r="J3">
        <v>98912</v>
      </c>
      <c r="K3">
        <v>53986</v>
      </c>
      <c r="L3">
        <v>15376</v>
      </c>
      <c r="M3">
        <v>29550</v>
      </c>
      <c r="N3">
        <v>2</v>
      </c>
      <c r="O3" t="s">
        <v>27</v>
      </c>
      <c r="P3" t="s">
        <v>28</v>
      </c>
      <c r="Q3" s="1">
        <v>45130</v>
      </c>
      <c r="R3" s="1">
        <v>45108</v>
      </c>
      <c r="S3" t="s">
        <v>29</v>
      </c>
      <c r="T3" s="1">
        <v>45108</v>
      </c>
      <c r="U3">
        <v>2023</v>
      </c>
      <c r="W3" s="10" cm="1">
        <f t="array" ref="W3:W13">_xlfn.UNIQUE(Alankrit_Sales_Data[Start of Month])</f>
        <v>45108</v>
      </c>
    </row>
    <row r="4" spans="1:23" x14ac:dyDescent="0.3">
      <c r="A4" t="s">
        <v>30</v>
      </c>
      <c r="B4" t="s">
        <v>31</v>
      </c>
      <c r="C4" t="s">
        <v>23</v>
      </c>
      <c r="D4" t="s">
        <v>32</v>
      </c>
      <c r="E4" s="1">
        <v>45102</v>
      </c>
      <c r="F4" t="s">
        <v>25</v>
      </c>
      <c r="G4" t="s">
        <v>33</v>
      </c>
      <c r="H4">
        <v>7</v>
      </c>
      <c r="I4">
        <v>64906</v>
      </c>
      <c r="J4">
        <v>454342</v>
      </c>
      <c r="K4">
        <v>228789</v>
      </c>
      <c r="L4">
        <v>86574</v>
      </c>
      <c r="M4">
        <v>138979</v>
      </c>
      <c r="N4">
        <v>2</v>
      </c>
      <c r="O4" t="s">
        <v>34</v>
      </c>
      <c r="P4" t="s">
        <v>28</v>
      </c>
      <c r="Q4" s="1">
        <v>45102</v>
      </c>
      <c r="R4" s="1">
        <v>45017</v>
      </c>
      <c r="S4" t="s">
        <v>35</v>
      </c>
      <c r="T4" s="1">
        <v>45078</v>
      </c>
      <c r="U4">
        <v>2023</v>
      </c>
      <c r="W4" s="10">
        <v>45078</v>
      </c>
    </row>
    <row r="5" spans="1:23" x14ac:dyDescent="0.3">
      <c r="A5" t="s">
        <v>36</v>
      </c>
      <c r="B5" t="s">
        <v>37</v>
      </c>
      <c r="C5" t="s">
        <v>38</v>
      </c>
      <c r="D5" t="s">
        <v>39</v>
      </c>
      <c r="E5" s="1">
        <v>44986</v>
      </c>
      <c r="F5" t="s">
        <v>40</v>
      </c>
      <c r="G5" t="s">
        <v>41</v>
      </c>
      <c r="H5">
        <v>6</v>
      </c>
      <c r="I5">
        <v>23442</v>
      </c>
      <c r="J5">
        <v>140652</v>
      </c>
      <c r="K5">
        <v>62753</v>
      </c>
      <c r="L5">
        <v>15432</v>
      </c>
      <c r="M5">
        <v>62467</v>
      </c>
      <c r="N5">
        <v>8</v>
      </c>
      <c r="O5" t="s">
        <v>42</v>
      </c>
      <c r="P5" t="s">
        <v>43</v>
      </c>
      <c r="Q5" s="1">
        <v>44983</v>
      </c>
      <c r="R5" s="1">
        <v>44927</v>
      </c>
      <c r="S5" t="s">
        <v>44</v>
      </c>
      <c r="T5" s="1">
        <v>44986</v>
      </c>
      <c r="U5">
        <v>2023</v>
      </c>
      <c r="W5" s="10">
        <v>44986</v>
      </c>
    </row>
    <row r="6" spans="1:23" x14ac:dyDescent="0.3">
      <c r="A6" t="s">
        <v>45</v>
      </c>
      <c r="B6" t="s">
        <v>46</v>
      </c>
      <c r="C6" t="s">
        <v>47</v>
      </c>
      <c r="D6" t="s">
        <v>48</v>
      </c>
      <c r="E6" s="1">
        <v>45208</v>
      </c>
      <c r="F6" t="s">
        <v>49</v>
      </c>
      <c r="G6" t="s">
        <v>41</v>
      </c>
      <c r="H6">
        <v>1</v>
      </c>
      <c r="I6">
        <v>16159</v>
      </c>
      <c r="J6">
        <v>16159</v>
      </c>
      <c r="K6">
        <v>7378</v>
      </c>
      <c r="L6">
        <v>2600</v>
      </c>
      <c r="M6">
        <v>6181</v>
      </c>
      <c r="N6">
        <v>39</v>
      </c>
      <c r="O6" t="s">
        <v>50</v>
      </c>
      <c r="P6" t="s">
        <v>51</v>
      </c>
      <c r="Q6" s="1">
        <v>45207</v>
      </c>
      <c r="R6" s="1">
        <v>45200</v>
      </c>
      <c r="S6" t="s">
        <v>52</v>
      </c>
      <c r="T6" s="1">
        <v>45200</v>
      </c>
      <c r="U6">
        <v>2023</v>
      </c>
      <c r="W6" s="10">
        <v>45200</v>
      </c>
    </row>
    <row r="7" spans="1:23" x14ac:dyDescent="0.3">
      <c r="A7" t="s">
        <v>53</v>
      </c>
      <c r="B7" t="s">
        <v>22</v>
      </c>
      <c r="C7" t="s">
        <v>23</v>
      </c>
      <c r="D7" t="s">
        <v>54</v>
      </c>
      <c r="E7" s="1">
        <v>45130</v>
      </c>
      <c r="F7" t="s">
        <v>49</v>
      </c>
      <c r="G7" t="s">
        <v>26</v>
      </c>
      <c r="H7">
        <v>4</v>
      </c>
      <c r="I7">
        <v>11821</v>
      </c>
      <c r="J7">
        <v>47284</v>
      </c>
      <c r="K7">
        <v>15244</v>
      </c>
      <c r="L7">
        <v>5895</v>
      </c>
      <c r="M7">
        <v>26145</v>
      </c>
      <c r="N7">
        <v>12</v>
      </c>
      <c r="O7" t="s">
        <v>42</v>
      </c>
      <c r="P7" t="s">
        <v>28</v>
      </c>
      <c r="Q7" s="1">
        <v>45130</v>
      </c>
      <c r="R7" s="1">
        <v>45108</v>
      </c>
      <c r="S7" t="s">
        <v>29</v>
      </c>
      <c r="T7" s="1">
        <v>45108</v>
      </c>
      <c r="U7">
        <v>2023</v>
      </c>
      <c r="W7" s="10">
        <v>45047</v>
      </c>
    </row>
    <row r="8" spans="1:23" x14ac:dyDescent="0.3">
      <c r="A8" t="s">
        <v>55</v>
      </c>
      <c r="B8" t="s">
        <v>31</v>
      </c>
      <c r="C8" t="s">
        <v>23</v>
      </c>
      <c r="D8" t="s">
        <v>56</v>
      </c>
      <c r="E8" s="1">
        <v>45004</v>
      </c>
      <c r="F8" t="s">
        <v>57</v>
      </c>
      <c r="G8" t="s">
        <v>58</v>
      </c>
      <c r="H8">
        <v>2</v>
      </c>
      <c r="I8">
        <v>53591</v>
      </c>
      <c r="J8">
        <v>107182</v>
      </c>
      <c r="K8">
        <v>42766</v>
      </c>
      <c r="L8">
        <v>13952</v>
      </c>
      <c r="M8">
        <v>50464</v>
      </c>
      <c r="N8">
        <v>24</v>
      </c>
      <c r="O8" t="s">
        <v>27</v>
      </c>
      <c r="P8" t="s">
        <v>28</v>
      </c>
      <c r="Q8" s="1">
        <v>45004</v>
      </c>
      <c r="R8" s="1">
        <v>44927</v>
      </c>
      <c r="S8" t="s">
        <v>44</v>
      </c>
      <c r="T8" s="1">
        <v>44986</v>
      </c>
      <c r="U8">
        <v>2023</v>
      </c>
      <c r="W8" s="10">
        <v>45017</v>
      </c>
    </row>
    <row r="9" spans="1:23" x14ac:dyDescent="0.3">
      <c r="A9" t="s">
        <v>59</v>
      </c>
      <c r="B9" t="s">
        <v>22</v>
      </c>
      <c r="C9" t="s">
        <v>23</v>
      </c>
      <c r="D9" t="s">
        <v>60</v>
      </c>
      <c r="E9" s="1">
        <v>45125</v>
      </c>
      <c r="F9" t="s">
        <v>25</v>
      </c>
      <c r="G9" t="s">
        <v>58</v>
      </c>
      <c r="H9">
        <v>4</v>
      </c>
      <c r="I9">
        <v>10087</v>
      </c>
      <c r="J9">
        <v>40348</v>
      </c>
      <c r="K9">
        <v>18496</v>
      </c>
      <c r="L9">
        <v>5321</v>
      </c>
      <c r="M9">
        <v>16531</v>
      </c>
      <c r="N9">
        <v>2</v>
      </c>
      <c r="O9" t="s">
        <v>61</v>
      </c>
      <c r="P9" t="s">
        <v>62</v>
      </c>
      <c r="Q9" s="1">
        <v>45123</v>
      </c>
      <c r="R9" s="1">
        <v>45108</v>
      </c>
      <c r="S9" t="s">
        <v>29</v>
      </c>
      <c r="T9" s="1">
        <v>45108</v>
      </c>
      <c r="U9">
        <v>2023</v>
      </c>
      <c r="W9" s="10">
        <v>44958</v>
      </c>
    </row>
    <row r="10" spans="1:23" x14ac:dyDescent="0.3">
      <c r="A10" t="s">
        <v>63</v>
      </c>
      <c r="B10" t="s">
        <v>22</v>
      </c>
      <c r="C10" t="s">
        <v>23</v>
      </c>
      <c r="D10" t="s">
        <v>32</v>
      </c>
      <c r="E10" s="1">
        <v>45215</v>
      </c>
      <c r="F10" t="s">
        <v>25</v>
      </c>
      <c r="G10" t="s">
        <v>64</v>
      </c>
      <c r="H10">
        <v>8</v>
      </c>
      <c r="I10">
        <v>4683</v>
      </c>
      <c r="J10">
        <v>37464</v>
      </c>
      <c r="K10">
        <v>20193</v>
      </c>
      <c r="L10">
        <v>4213</v>
      </c>
      <c r="M10">
        <v>13058</v>
      </c>
      <c r="N10">
        <v>46</v>
      </c>
      <c r="O10" t="s">
        <v>42</v>
      </c>
      <c r="P10" t="s">
        <v>51</v>
      </c>
      <c r="Q10" s="1">
        <v>45214</v>
      </c>
      <c r="R10" s="1">
        <v>45200</v>
      </c>
      <c r="S10" t="s">
        <v>52</v>
      </c>
      <c r="T10" s="1">
        <v>45200</v>
      </c>
      <c r="U10">
        <v>2023</v>
      </c>
      <c r="W10" s="10">
        <v>45139</v>
      </c>
    </row>
    <row r="11" spans="1:23" x14ac:dyDescent="0.3">
      <c r="A11" t="s">
        <v>65</v>
      </c>
      <c r="B11" t="s">
        <v>46</v>
      </c>
      <c r="C11" t="s">
        <v>47</v>
      </c>
      <c r="D11" t="s">
        <v>66</v>
      </c>
      <c r="E11" s="1">
        <v>45066</v>
      </c>
      <c r="F11" t="s">
        <v>49</v>
      </c>
      <c r="G11" t="s">
        <v>33</v>
      </c>
      <c r="H11">
        <v>1</v>
      </c>
      <c r="I11">
        <v>40448</v>
      </c>
      <c r="J11">
        <v>40448</v>
      </c>
      <c r="K11">
        <v>16688</v>
      </c>
      <c r="L11">
        <v>7220</v>
      </c>
      <c r="M11">
        <v>16540</v>
      </c>
      <c r="N11">
        <v>26</v>
      </c>
      <c r="O11" t="s">
        <v>34</v>
      </c>
      <c r="P11" t="s">
        <v>67</v>
      </c>
      <c r="Q11" s="1">
        <v>45060</v>
      </c>
      <c r="R11" s="1">
        <v>45017</v>
      </c>
      <c r="S11" t="s">
        <v>68</v>
      </c>
      <c r="T11" s="1">
        <v>45047</v>
      </c>
      <c r="U11">
        <v>2023</v>
      </c>
      <c r="W11" s="10">
        <v>44927</v>
      </c>
    </row>
    <row r="12" spans="1:23" x14ac:dyDescent="0.3">
      <c r="A12" t="s">
        <v>69</v>
      </c>
      <c r="B12" t="s">
        <v>31</v>
      </c>
      <c r="C12" t="s">
        <v>23</v>
      </c>
      <c r="D12" t="s">
        <v>70</v>
      </c>
      <c r="E12" s="1">
        <v>45103</v>
      </c>
      <c r="F12" t="s">
        <v>25</v>
      </c>
      <c r="G12" t="s">
        <v>64</v>
      </c>
      <c r="H12">
        <v>6</v>
      </c>
      <c r="I12">
        <v>42425</v>
      </c>
      <c r="J12">
        <v>254550</v>
      </c>
      <c r="K12">
        <v>144568</v>
      </c>
      <c r="L12">
        <v>41577</v>
      </c>
      <c r="M12">
        <v>68405</v>
      </c>
      <c r="N12">
        <v>8</v>
      </c>
      <c r="O12" t="s">
        <v>50</v>
      </c>
      <c r="P12" t="s">
        <v>51</v>
      </c>
      <c r="Q12" s="1">
        <v>45102</v>
      </c>
      <c r="R12" s="1">
        <v>45017</v>
      </c>
      <c r="S12" t="s">
        <v>35</v>
      </c>
      <c r="T12" s="1">
        <v>45078</v>
      </c>
      <c r="U12">
        <v>2023</v>
      </c>
      <c r="W12" s="10">
        <v>45170</v>
      </c>
    </row>
    <row r="13" spans="1:23" x14ac:dyDescent="0.3">
      <c r="A13" t="s">
        <v>71</v>
      </c>
      <c r="B13" t="s">
        <v>72</v>
      </c>
      <c r="C13" t="s">
        <v>47</v>
      </c>
      <c r="D13" t="s">
        <v>73</v>
      </c>
      <c r="E13" s="1">
        <v>45046</v>
      </c>
      <c r="F13" t="s">
        <v>49</v>
      </c>
      <c r="G13" t="s">
        <v>41</v>
      </c>
      <c r="H13">
        <v>10</v>
      </c>
      <c r="I13">
        <v>45983</v>
      </c>
      <c r="J13">
        <v>459830</v>
      </c>
      <c r="K13">
        <v>190907</v>
      </c>
      <c r="L13">
        <v>86328</v>
      </c>
      <c r="M13">
        <v>182595</v>
      </c>
      <c r="N13">
        <v>4</v>
      </c>
      <c r="O13" t="s">
        <v>42</v>
      </c>
      <c r="P13" t="s">
        <v>28</v>
      </c>
      <c r="Q13" s="1">
        <v>45046</v>
      </c>
      <c r="R13" s="1">
        <v>45017</v>
      </c>
      <c r="S13" t="s">
        <v>74</v>
      </c>
      <c r="T13" s="1">
        <v>45017</v>
      </c>
      <c r="U13">
        <v>2023</v>
      </c>
      <c r="W13" s="10">
        <v>45231</v>
      </c>
    </row>
    <row r="14" spans="1:23" x14ac:dyDescent="0.3">
      <c r="A14" t="s">
        <v>75</v>
      </c>
      <c r="B14" t="s">
        <v>31</v>
      </c>
      <c r="C14" t="s">
        <v>23</v>
      </c>
      <c r="D14" t="s">
        <v>76</v>
      </c>
      <c r="E14" s="1">
        <v>45221</v>
      </c>
      <c r="F14" t="s">
        <v>40</v>
      </c>
      <c r="G14" t="s">
        <v>26</v>
      </c>
      <c r="H14">
        <v>4</v>
      </c>
      <c r="I14">
        <v>38838</v>
      </c>
      <c r="J14">
        <v>155352</v>
      </c>
      <c r="K14">
        <v>88143</v>
      </c>
      <c r="L14">
        <v>31034</v>
      </c>
      <c r="M14">
        <v>36175</v>
      </c>
      <c r="N14">
        <v>38</v>
      </c>
      <c r="O14" t="s">
        <v>42</v>
      </c>
      <c r="P14" t="s">
        <v>28</v>
      </c>
      <c r="Q14" s="1">
        <v>45221</v>
      </c>
      <c r="R14" s="1">
        <v>45200</v>
      </c>
      <c r="S14" t="s">
        <v>52</v>
      </c>
      <c r="T14" s="1">
        <v>45200</v>
      </c>
      <c r="U14">
        <v>2023</v>
      </c>
    </row>
    <row r="15" spans="1:23" x14ac:dyDescent="0.3">
      <c r="A15" t="s">
        <v>77</v>
      </c>
      <c r="B15" t="s">
        <v>72</v>
      </c>
      <c r="C15" t="s">
        <v>47</v>
      </c>
      <c r="D15" t="s">
        <v>78</v>
      </c>
      <c r="E15" s="1">
        <v>45131</v>
      </c>
      <c r="F15" t="s">
        <v>49</v>
      </c>
      <c r="G15" t="s">
        <v>26</v>
      </c>
      <c r="H15">
        <v>8</v>
      </c>
      <c r="I15">
        <v>37185</v>
      </c>
      <c r="J15">
        <v>297480</v>
      </c>
      <c r="K15">
        <v>136853</v>
      </c>
      <c r="L15">
        <v>48793</v>
      </c>
      <c r="M15">
        <v>111834</v>
      </c>
      <c r="N15">
        <v>12</v>
      </c>
      <c r="O15" t="s">
        <v>50</v>
      </c>
      <c r="P15" t="s">
        <v>51</v>
      </c>
      <c r="Q15" s="1">
        <v>45130</v>
      </c>
      <c r="R15" s="1">
        <v>45108</v>
      </c>
      <c r="S15" t="s">
        <v>29</v>
      </c>
      <c r="T15" s="1">
        <v>45108</v>
      </c>
      <c r="U15">
        <v>2023</v>
      </c>
    </row>
    <row r="16" spans="1:23" x14ac:dyDescent="0.3">
      <c r="A16" t="s">
        <v>79</v>
      </c>
      <c r="B16" t="s">
        <v>46</v>
      </c>
      <c r="C16" t="s">
        <v>47</v>
      </c>
      <c r="D16" t="s">
        <v>80</v>
      </c>
      <c r="E16" s="1">
        <v>45090</v>
      </c>
      <c r="F16" t="s">
        <v>25</v>
      </c>
      <c r="G16" t="s">
        <v>81</v>
      </c>
      <c r="H16">
        <v>10</v>
      </c>
      <c r="I16">
        <v>58445</v>
      </c>
      <c r="J16">
        <v>584450</v>
      </c>
      <c r="K16">
        <v>326217</v>
      </c>
      <c r="L16">
        <v>61726</v>
      </c>
      <c r="M16">
        <v>196507</v>
      </c>
      <c r="N16">
        <v>11</v>
      </c>
      <c r="O16" t="s">
        <v>27</v>
      </c>
      <c r="P16" t="s">
        <v>62</v>
      </c>
      <c r="Q16" s="1">
        <v>45088</v>
      </c>
      <c r="R16" s="1">
        <v>45017</v>
      </c>
      <c r="S16" t="s">
        <v>35</v>
      </c>
      <c r="T16" s="1">
        <v>45078</v>
      </c>
      <c r="U16">
        <v>2023</v>
      </c>
      <c r="W16" s="10"/>
    </row>
    <row r="17" spans="1:23" x14ac:dyDescent="0.3">
      <c r="A17" t="s">
        <v>82</v>
      </c>
      <c r="B17" t="s">
        <v>31</v>
      </c>
      <c r="C17" t="s">
        <v>23</v>
      </c>
      <c r="D17" t="s">
        <v>83</v>
      </c>
      <c r="E17" s="1">
        <v>44959</v>
      </c>
      <c r="F17" t="s">
        <v>49</v>
      </c>
      <c r="G17" t="s">
        <v>58</v>
      </c>
      <c r="H17">
        <v>2</v>
      </c>
      <c r="I17">
        <v>4089</v>
      </c>
      <c r="J17">
        <v>8178</v>
      </c>
      <c r="K17">
        <v>3927</v>
      </c>
      <c r="L17">
        <v>1344</v>
      </c>
      <c r="M17">
        <v>2907</v>
      </c>
      <c r="N17">
        <v>15</v>
      </c>
      <c r="O17" t="s">
        <v>27</v>
      </c>
      <c r="P17" t="s">
        <v>84</v>
      </c>
      <c r="Q17" s="1">
        <v>44955</v>
      </c>
      <c r="R17" s="1">
        <v>44927</v>
      </c>
      <c r="S17" t="s">
        <v>85</v>
      </c>
      <c r="T17" s="1">
        <v>44958</v>
      </c>
      <c r="U17">
        <v>2023</v>
      </c>
      <c r="W17" s="10"/>
    </row>
    <row r="18" spans="1:23" x14ac:dyDescent="0.3">
      <c r="A18" t="s">
        <v>86</v>
      </c>
      <c r="B18" t="s">
        <v>72</v>
      </c>
      <c r="C18" t="s">
        <v>47</v>
      </c>
      <c r="D18" t="s">
        <v>87</v>
      </c>
      <c r="E18" s="1">
        <v>45029</v>
      </c>
      <c r="F18" t="s">
        <v>49</v>
      </c>
      <c r="G18" t="s">
        <v>33</v>
      </c>
      <c r="H18">
        <v>7</v>
      </c>
      <c r="I18">
        <v>42331</v>
      </c>
      <c r="J18">
        <v>296317</v>
      </c>
      <c r="K18">
        <v>102202</v>
      </c>
      <c r="L18">
        <v>56701</v>
      </c>
      <c r="M18">
        <v>137414</v>
      </c>
      <c r="N18">
        <v>42</v>
      </c>
      <c r="O18" t="s">
        <v>50</v>
      </c>
      <c r="P18" t="s">
        <v>84</v>
      </c>
      <c r="Q18" s="1">
        <v>45025</v>
      </c>
      <c r="R18" s="1">
        <v>45017</v>
      </c>
      <c r="S18" t="s">
        <v>74</v>
      </c>
      <c r="T18" s="1">
        <v>45017</v>
      </c>
      <c r="U18">
        <v>2023</v>
      </c>
      <c r="W18" s="10"/>
    </row>
    <row r="19" spans="1:23" x14ac:dyDescent="0.3">
      <c r="A19" t="s">
        <v>88</v>
      </c>
      <c r="B19" t="s">
        <v>37</v>
      </c>
      <c r="C19" t="s">
        <v>38</v>
      </c>
      <c r="D19" t="s">
        <v>89</v>
      </c>
      <c r="E19" s="1">
        <v>45215</v>
      </c>
      <c r="F19" t="s">
        <v>49</v>
      </c>
      <c r="G19" t="s">
        <v>33</v>
      </c>
      <c r="H19">
        <v>8</v>
      </c>
      <c r="I19">
        <v>50804</v>
      </c>
      <c r="J19">
        <v>406432</v>
      </c>
      <c r="K19">
        <v>204754</v>
      </c>
      <c r="L19">
        <v>62669</v>
      </c>
      <c r="M19">
        <v>139009</v>
      </c>
      <c r="N19">
        <v>5</v>
      </c>
      <c r="O19" t="s">
        <v>61</v>
      </c>
      <c r="P19" t="s">
        <v>51</v>
      </c>
      <c r="Q19" s="1">
        <v>45214</v>
      </c>
      <c r="R19" s="1">
        <v>45200</v>
      </c>
      <c r="S19" t="s">
        <v>52</v>
      </c>
      <c r="T19" s="1">
        <v>45200</v>
      </c>
      <c r="U19">
        <v>2023</v>
      </c>
      <c r="W19" s="10"/>
    </row>
    <row r="20" spans="1:23" x14ac:dyDescent="0.3">
      <c r="A20" t="s">
        <v>90</v>
      </c>
      <c r="B20" t="s">
        <v>37</v>
      </c>
      <c r="C20" t="s">
        <v>38</v>
      </c>
      <c r="D20" t="s">
        <v>91</v>
      </c>
      <c r="E20" s="1">
        <v>45167</v>
      </c>
      <c r="F20" t="s">
        <v>49</v>
      </c>
      <c r="G20" t="s">
        <v>64</v>
      </c>
      <c r="H20">
        <v>4</v>
      </c>
      <c r="I20">
        <v>47648</v>
      </c>
      <c r="J20">
        <v>190592</v>
      </c>
      <c r="K20">
        <v>89147</v>
      </c>
      <c r="L20">
        <v>35622</v>
      </c>
      <c r="M20">
        <v>65823</v>
      </c>
      <c r="N20">
        <v>12</v>
      </c>
      <c r="O20" t="s">
        <v>61</v>
      </c>
      <c r="P20" t="s">
        <v>62</v>
      </c>
      <c r="Q20" s="1">
        <v>45165</v>
      </c>
      <c r="R20" s="1">
        <v>45108</v>
      </c>
      <c r="S20" t="s">
        <v>92</v>
      </c>
      <c r="T20" s="1">
        <v>45139</v>
      </c>
      <c r="U20">
        <v>2023</v>
      </c>
      <c r="W20" s="10"/>
    </row>
    <row r="21" spans="1:23" x14ac:dyDescent="0.3">
      <c r="A21" t="s">
        <v>93</v>
      </c>
      <c r="B21" t="s">
        <v>22</v>
      </c>
      <c r="C21" t="s">
        <v>23</v>
      </c>
      <c r="D21" t="s">
        <v>83</v>
      </c>
      <c r="E21" s="1">
        <v>45090</v>
      </c>
      <c r="F21" t="s">
        <v>40</v>
      </c>
      <c r="G21" t="s">
        <v>64</v>
      </c>
      <c r="H21">
        <v>7</v>
      </c>
      <c r="I21">
        <v>19482</v>
      </c>
      <c r="J21">
        <v>136374</v>
      </c>
      <c r="K21">
        <v>74709</v>
      </c>
      <c r="L21">
        <v>19466</v>
      </c>
      <c r="M21">
        <v>42199</v>
      </c>
      <c r="N21">
        <v>25</v>
      </c>
      <c r="O21" t="s">
        <v>50</v>
      </c>
      <c r="P21" t="s">
        <v>62</v>
      </c>
      <c r="Q21" s="1">
        <v>45088</v>
      </c>
      <c r="R21" s="1">
        <v>45017</v>
      </c>
      <c r="S21" t="s">
        <v>35</v>
      </c>
      <c r="T21" s="1">
        <v>45078</v>
      </c>
      <c r="U21">
        <v>2023</v>
      </c>
      <c r="W21" s="10"/>
    </row>
    <row r="22" spans="1:23" x14ac:dyDescent="0.3">
      <c r="A22" t="s">
        <v>94</v>
      </c>
      <c r="B22" t="s">
        <v>31</v>
      </c>
      <c r="C22" t="s">
        <v>23</v>
      </c>
      <c r="D22" t="s">
        <v>87</v>
      </c>
      <c r="E22" s="1">
        <v>44947</v>
      </c>
      <c r="F22" t="s">
        <v>57</v>
      </c>
      <c r="G22" t="s">
        <v>33</v>
      </c>
      <c r="H22">
        <v>1</v>
      </c>
      <c r="I22">
        <v>5061</v>
      </c>
      <c r="J22">
        <v>5061</v>
      </c>
      <c r="K22">
        <v>2783</v>
      </c>
      <c r="L22">
        <v>972</v>
      </c>
      <c r="M22">
        <v>1306</v>
      </c>
      <c r="N22">
        <v>3</v>
      </c>
      <c r="O22" t="s">
        <v>34</v>
      </c>
      <c r="P22" t="s">
        <v>67</v>
      </c>
      <c r="Q22" s="1">
        <v>44941</v>
      </c>
      <c r="R22" s="1">
        <v>44927</v>
      </c>
      <c r="S22" t="s">
        <v>95</v>
      </c>
      <c r="T22" s="1">
        <v>44927</v>
      </c>
      <c r="U22">
        <v>2023</v>
      </c>
      <c r="W22" s="10"/>
    </row>
    <row r="23" spans="1:23" x14ac:dyDescent="0.3">
      <c r="A23" t="s">
        <v>96</v>
      </c>
      <c r="B23" t="s">
        <v>37</v>
      </c>
      <c r="C23" t="s">
        <v>38</v>
      </c>
      <c r="D23" t="s">
        <v>97</v>
      </c>
      <c r="E23" s="1">
        <v>45037</v>
      </c>
      <c r="F23" t="s">
        <v>57</v>
      </c>
      <c r="G23" t="s">
        <v>98</v>
      </c>
      <c r="H23">
        <v>8</v>
      </c>
      <c r="I23">
        <v>62439</v>
      </c>
      <c r="J23">
        <v>499512</v>
      </c>
      <c r="K23">
        <v>244555</v>
      </c>
      <c r="L23">
        <v>86321</v>
      </c>
      <c r="M23">
        <v>168636</v>
      </c>
      <c r="N23">
        <v>20</v>
      </c>
      <c r="O23" t="s">
        <v>50</v>
      </c>
      <c r="P23" t="s">
        <v>99</v>
      </c>
      <c r="Q23" s="1">
        <v>45032</v>
      </c>
      <c r="R23" s="1">
        <v>45017</v>
      </c>
      <c r="S23" t="s">
        <v>74</v>
      </c>
      <c r="T23" s="1">
        <v>45017</v>
      </c>
      <c r="U23">
        <v>2023</v>
      </c>
      <c r="W23" s="10"/>
    </row>
    <row r="24" spans="1:23" x14ac:dyDescent="0.3">
      <c r="A24" t="s">
        <v>100</v>
      </c>
      <c r="B24" t="s">
        <v>72</v>
      </c>
      <c r="C24" t="s">
        <v>47</v>
      </c>
      <c r="D24" t="s">
        <v>101</v>
      </c>
      <c r="E24" s="1">
        <v>45168</v>
      </c>
      <c r="F24" t="s">
        <v>40</v>
      </c>
      <c r="G24" t="s">
        <v>81</v>
      </c>
      <c r="H24">
        <v>5</v>
      </c>
      <c r="I24">
        <v>15179</v>
      </c>
      <c r="J24">
        <v>75895</v>
      </c>
      <c r="K24">
        <v>35441</v>
      </c>
      <c r="L24">
        <v>9966</v>
      </c>
      <c r="M24">
        <v>30488</v>
      </c>
      <c r="N24">
        <v>2</v>
      </c>
      <c r="O24" t="s">
        <v>50</v>
      </c>
      <c r="P24" t="s">
        <v>43</v>
      </c>
      <c r="Q24" s="1">
        <v>45165</v>
      </c>
      <c r="R24" s="1">
        <v>45108</v>
      </c>
      <c r="S24" t="s">
        <v>92</v>
      </c>
      <c r="T24" s="1">
        <v>45139</v>
      </c>
      <c r="U24">
        <v>2023</v>
      </c>
      <c r="W24" s="10"/>
    </row>
    <row r="25" spans="1:23" x14ac:dyDescent="0.3">
      <c r="A25" t="s">
        <v>102</v>
      </c>
      <c r="B25" t="s">
        <v>31</v>
      </c>
      <c r="C25" t="s">
        <v>23</v>
      </c>
      <c r="D25" t="s">
        <v>66</v>
      </c>
      <c r="E25" s="1">
        <v>45012</v>
      </c>
      <c r="F25" t="s">
        <v>40</v>
      </c>
      <c r="G25" t="s">
        <v>41</v>
      </c>
      <c r="H25">
        <v>8</v>
      </c>
      <c r="I25">
        <v>20152</v>
      </c>
      <c r="J25">
        <v>161216</v>
      </c>
      <c r="K25">
        <v>68229</v>
      </c>
      <c r="L25">
        <v>27338</v>
      </c>
      <c r="M25">
        <v>65649</v>
      </c>
      <c r="N25">
        <v>40</v>
      </c>
      <c r="O25" t="s">
        <v>27</v>
      </c>
      <c r="P25" t="s">
        <v>51</v>
      </c>
      <c r="Q25" s="1">
        <v>45011</v>
      </c>
      <c r="R25" s="1">
        <v>44927</v>
      </c>
      <c r="S25" t="s">
        <v>44</v>
      </c>
      <c r="T25" s="1">
        <v>44986</v>
      </c>
      <c r="U25">
        <v>2023</v>
      </c>
    </row>
    <row r="26" spans="1:23" x14ac:dyDescent="0.3">
      <c r="A26" t="s">
        <v>103</v>
      </c>
      <c r="B26" t="s">
        <v>37</v>
      </c>
      <c r="C26" t="s">
        <v>38</v>
      </c>
      <c r="D26" t="s">
        <v>78</v>
      </c>
      <c r="E26" s="1">
        <v>45179</v>
      </c>
      <c r="F26" t="s">
        <v>49</v>
      </c>
      <c r="G26" t="s">
        <v>33</v>
      </c>
      <c r="H26">
        <v>1</v>
      </c>
      <c r="I26">
        <v>29379</v>
      </c>
      <c r="J26">
        <v>29379</v>
      </c>
      <c r="K26">
        <v>17029</v>
      </c>
      <c r="L26">
        <v>4570</v>
      </c>
      <c r="M26">
        <v>7780</v>
      </c>
      <c r="N26">
        <v>18</v>
      </c>
      <c r="O26" t="s">
        <v>42</v>
      </c>
      <c r="P26" t="s">
        <v>28</v>
      </c>
      <c r="Q26" s="1">
        <v>45179</v>
      </c>
      <c r="R26" s="1">
        <v>45108</v>
      </c>
      <c r="S26" t="s">
        <v>104</v>
      </c>
      <c r="T26" s="1">
        <v>45170</v>
      </c>
      <c r="U26">
        <v>2023</v>
      </c>
    </row>
    <row r="27" spans="1:23" x14ac:dyDescent="0.3">
      <c r="A27" t="s">
        <v>105</v>
      </c>
      <c r="B27" t="s">
        <v>22</v>
      </c>
      <c r="C27" t="s">
        <v>23</v>
      </c>
      <c r="D27" t="s">
        <v>106</v>
      </c>
      <c r="E27" s="1">
        <v>45036</v>
      </c>
      <c r="F27" t="s">
        <v>40</v>
      </c>
      <c r="G27" t="s">
        <v>26</v>
      </c>
      <c r="H27">
        <v>6</v>
      </c>
      <c r="I27">
        <v>24760</v>
      </c>
      <c r="J27">
        <v>148560</v>
      </c>
      <c r="K27">
        <v>77126</v>
      </c>
      <c r="L27">
        <v>15595</v>
      </c>
      <c r="M27">
        <v>55839</v>
      </c>
      <c r="N27">
        <v>25</v>
      </c>
      <c r="O27" t="s">
        <v>34</v>
      </c>
      <c r="P27" t="s">
        <v>84</v>
      </c>
      <c r="Q27" s="1">
        <v>45032</v>
      </c>
      <c r="R27" s="1">
        <v>45017</v>
      </c>
      <c r="S27" t="s">
        <v>74</v>
      </c>
      <c r="T27" s="1">
        <v>45017</v>
      </c>
      <c r="U27">
        <v>2023</v>
      </c>
    </row>
    <row r="28" spans="1:23" x14ac:dyDescent="0.3">
      <c r="A28" t="s">
        <v>107</v>
      </c>
      <c r="B28" t="s">
        <v>22</v>
      </c>
      <c r="C28" t="s">
        <v>23</v>
      </c>
      <c r="D28" t="s">
        <v>108</v>
      </c>
      <c r="E28" s="1">
        <v>45068</v>
      </c>
      <c r="F28" t="s">
        <v>25</v>
      </c>
      <c r="G28" t="s">
        <v>98</v>
      </c>
      <c r="H28">
        <v>6</v>
      </c>
      <c r="I28">
        <v>8637</v>
      </c>
      <c r="J28">
        <v>51822</v>
      </c>
      <c r="K28">
        <v>23903</v>
      </c>
      <c r="L28">
        <v>8109</v>
      </c>
      <c r="M28">
        <v>19810</v>
      </c>
      <c r="N28">
        <v>25</v>
      </c>
      <c r="O28" t="s">
        <v>61</v>
      </c>
      <c r="P28" t="s">
        <v>51</v>
      </c>
      <c r="Q28" s="1">
        <v>45067</v>
      </c>
      <c r="R28" s="1">
        <v>45017</v>
      </c>
      <c r="S28" t="s">
        <v>68</v>
      </c>
      <c r="T28" s="1">
        <v>45047</v>
      </c>
      <c r="U28">
        <v>2023</v>
      </c>
    </row>
    <row r="29" spans="1:23" x14ac:dyDescent="0.3">
      <c r="A29" t="s">
        <v>109</v>
      </c>
      <c r="B29" t="s">
        <v>37</v>
      </c>
      <c r="C29" t="s">
        <v>38</v>
      </c>
      <c r="D29" t="s">
        <v>97</v>
      </c>
      <c r="E29" s="1">
        <v>45117</v>
      </c>
      <c r="F29" t="s">
        <v>49</v>
      </c>
      <c r="G29" t="s">
        <v>33</v>
      </c>
      <c r="H29">
        <v>3</v>
      </c>
      <c r="I29">
        <v>17570</v>
      </c>
      <c r="J29">
        <v>52710</v>
      </c>
      <c r="K29">
        <v>23071</v>
      </c>
      <c r="L29">
        <v>9185</v>
      </c>
      <c r="M29">
        <v>20454</v>
      </c>
      <c r="N29">
        <v>14</v>
      </c>
      <c r="O29" t="s">
        <v>27</v>
      </c>
      <c r="P29" t="s">
        <v>51</v>
      </c>
      <c r="Q29" s="1">
        <v>45116</v>
      </c>
      <c r="R29" s="1">
        <v>45108</v>
      </c>
      <c r="S29" t="s">
        <v>29</v>
      </c>
      <c r="T29" s="1">
        <v>45108</v>
      </c>
      <c r="U29">
        <v>2023</v>
      </c>
    </row>
    <row r="30" spans="1:23" x14ac:dyDescent="0.3">
      <c r="A30" t="s">
        <v>110</v>
      </c>
      <c r="B30" t="s">
        <v>37</v>
      </c>
      <c r="C30" t="s">
        <v>38</v>
      </c>
      <c r="D30" t="s">
        <v>111</v>
      </c>
      <c r="E30" s="1">
        <v>44971</v>
      </c>
      <c r="F30" t="s">
        <v>25</v>
      </c>
      <c r="G30" t="s">
        <v>64</v>
      </c>
      <c r="H30">
        <v>10</v>
      </c>
      <c r="I30">
        <v>5002</v>
      </c>
      <c r="J30">
        <v>50020</v>
      </c>
      <c r="K30">
        <v>24303</v>
      </c>
      <c r="L30">
        <v>5107</v>
      </c>
      <c r="M30">
        <v>20610</v>
      </c>
      <c r="N30">
        <v>8</v>
      </c>
      <c r="O30" t="s">
        <v>34</v>
      </c>
      <c r="P30" t="s">
        <v>62</v>
      </c>
      <c r="Q30" s="1">
        <v>44969</v>
      </c>
      <c r="R30" s="1">
        <v>44927</v>
      </c>
      <c r="S30" t="s">
        <v>85</v>
      </c>
      <c r="T30" s="1">
        <v>44958</v>
      </c>
      <c r="U30">
        <v>2023</v>
      </c>
    </row>
    <row r="31" spans="1:23" x14ac:dyDescent="0.3">
      <c r="A31" t="s">
        <v>112</v>
      </c>
      <c r="B31" t="s">
        <v>31</v>
      </c>
      <c r="C31" t="s">
        <v>23</v>
      </c>
      <c r="D31" t="s">
        <v>101</v>
      </c>
      <c r="E31" s="1">
        <v>45122</v>
      </c>
      <c r="F31" t="s">
        <v>57</v>
      </c>
      <c r="G31" t="s">
        <v>33</v>
      </c>
      <c r="H31">
        <v>1</v>
      </c>
      <c r="I31">
        <v>54835</v>
      </c>
      <c r="J31">
        <v>54835</v>
      </c>
      <c r="K31">
        <v>26585</v>
      </c>
      <c r="L31">
        <v>8177</v>
      </c>
      <c r="M31">
        <v>20073</v>
      </c>
      <c r="N31">
        <v>24</v>
      </c>
      <c r="O31" t="s">
        <v>50</v>
      </c>
      <c r="P31" t="s">
        <v>67</v>
      </c>
      <c r="Q31" s="1">
        <v>45116</v>
      </c>
      <c r="R31" s="1">
        <v>45108</v>
      </c>
      <c r="S31" t="s">
        <v>29</v>
      </c>
      <c r="T31" s="1">
        <v>45108</v>
      </c>
      <c r="U31">
        <v>2023</v>
      </c>
    </row>
    <row r="32" spans="1:23" x14ac:dyDescent="0.3">
      <c r="A32" t="s">
        <v>113</v>
      </c>
      <c r="B32" t="s">
        <v>72</v>
      </c>
      <c r="C32" t="s">
        <v>47</v>
      </c>
      <c r="D32" t="s">
        <v>114</v>
      </c>
      <c r="E32" s="1">
        <v>45045</v>
      </c>
      <c r="F32" t="s">
        <v>49</v>
      </c>
      <c r="G32" t="s">
        <v>98</v>
      </c>
      <c r="H32">
        <v>5</v>
      </c>
      <c r="I32">
        <v>36251</v>
      </c>
      <c r="J32">
        <v>181255</v>
      </c>
      <c r="K32">
        <v>60120</v>
      </c>
      <c r="L32">
        <v>18514</v>
      </c>
      <c r="M32">
        <v>102621</v>
      </c>
      <c r="N32">
        <v>11</v>
      </c>
      <c r="O32" t="s">
        <v>27</v>
      </c>
      <c r="P32" t="s">
        <v>67</v>
      </c>
      <c r="Q32" s="1">
        <v>45039</v>
      </c>
      <c r="R32" s="1">
        <v>45017</v>
      </c>
      <c r="S32" t="s">
        <v>74</v>
      </c>
      <c r="T32" s="1">
        <v>45017</v>
      </c>
      <c r="U32">
        <v>2023</v>
      </c>
    </row>
    <row r="33" spans="1:21" x14ac:dyDescent="0.3">
      <c r="A33" t="s">
        <v>115</v>
      </c>
      <c r="B33" t="s">
        <v>22</v>
      </c>
      <c r="C33" t="s">
        <v>23</v>
      </c>
      <c r="D33" t="s">
        <v>78</v>
      </c>
      <c r="E33" s="1">
        <v>45103</v>
      </c>
      <c r="F33" t="s">
        <v>57</v>
      </c>
      <c r="G33" t="s">
        <v>81</v>
      </c>
      <c r="H33">
        <v>4</v>
      </c>
      <c r="I33">
        <v>29847</v>
      </c>
      <c r="J33">
        <v>119388</v>
      </c>
      <c r="K33">
        <v>68269</v>
      </c>
      <c r="L33">
        <v>15212</v>
      </c>
      <c r="M33">
        <v>35907</v>
      </c>
      <c r="N33">
        <v>24</v>
      </c>
      <c r="O33" t="s">
        <v>27</v>
      </c>
      <c r="P33" t="s">
        <v>51</v>
      </c>
      <c r="Q33" s="1">
        <v>45102</v>
      </c>
      <c r="R33" s="1">
        <v>45017</v>
      </c>
      <c r="S33" t="s">
        <v>35</v>
      </c>
      <c r="T33" s="1">
        <v>45078</v>
      </c>
      <c r="U33">
        <v>2023</v>
      </c>
    </row>
    <row r="34" spans="1:21" x14ac:dyDescent="0.3">
      <c r="A34" t="s">
        <v>116</v>
      </c>
      <c r="B34" t="s">
        <v>22</v>
      </c>
      <c r="C34" t="s">
        <v>23</v>
      </c>
      <c r="D34" t="s">
        <v>117</v>
      </c>
      <c r="E34" s="1">
        <v>45203</v>
      </c>
      <c r="F34" t="s">
        <v>57</v>
      </c>
      <c r="G34" t="s">
        <v>26</v>
      </c>
      <c r="H34">
        <v>7</v>
      </c>
      <c r="I34">
        <v>58829</v>
      </c>
      <c r="J34">
        <v>411803</v>
      </c>
      <c r="K34">
        <v>224403</v>
      </c>
      <c r="L34">
        <v>53636</v>
      </c>
      <c r="M34">
        <v>133764</v>
      </c>
      <c r="N34">
        <v>1</v>
      </c>
      <c r="O34" t="s">
        <v>34</v>
      </c>
      <c r="P34" t="s">
        <v>43</v>
      </c>
      <c r="Q34" s="1">
        <v>45200</v>
      </c>
      <c r="R34" s="1">
        <v>45200</v>
      </c>
      <c r="S34" t="s">
        <v>52</v>
      </c>
      <c r="T34" s="1">
        <v>45200</v>
      </c>
      <c r="U34">
        <v>2023</v>
      </c>
    </row>
    <row r="35" spans="1:21" x14ac:dyDescent="0.3">
      <c r="A35" t="s">
        <v>118</v>
      </c>
      <c r="B35" t="s">
        <v>31</v>
      </c>
      <c r="C35" t="s">
        <v>23</v>
      </c>
      <c r="D35" t="s">
        <v>119</v>
      </c>
      <c r="E35" s="1">
        <v>45131</v>
      </c>
      <c r="F35" t="s">
        <v>40</v>
      </c>
      <c r="G35" t="s">
        <v>41</v>
      </c>
      <c r="H35">
        <v>8</v>
      </c>
      <c r="I35">
        <v>5208</v>
      </c>
      <c r="J35">
        <v>41664</v>
      </c>
      <c r="K35">
        <v>21267</v>
      </c>
      <c r="L35">
        <v>6558</v>
      </c>
      <c r="M35">
        <v>13839</v>
      </c>
      <c r="N35">
        <v>0</v>
      </c>
      <c r="O35" t="s">
        <v>34</v>
      </c>
      <c r="P35" t="s">
        <v>51</v>
      </c>
      <c r="Q35" s="1">
        <v>45130</v>
      </c>
      <c r="R35" s="1">
        <v>45108</v>
      </c>
      <c r="S35" t="s">
        <v>29</v>
      </c>
      <c r="T35" s="1">
        <v>45108</v>
      </c>
      <c r="U35">
        <v>2023</v>
      </c>
    </row>
    <row r="36" spans="1:21" x14ac:dyDescent="0.3">
      <c r="A36" t="s">
        <v>120</v>
      </c>
      <c r="B36" t="s">
        <v>37</v>
      </c>
      <c r="C36" t="s">
        <v>38</v>
      </c>
      <c r="D36" t="s">
        <v>121</v>
      </c>
      <c r="E36" s="1">
        <v>45212</v>
      </c>
      <c r="F36" t="s">
        <v>40</v>
      </c>
      <c r="G36" t="s">
        <v>41</v>
      </c>
      <c r="H36">
        <v>2</v>
      </c>
      <c r="I36">
        <v>20612</v>
      </c>
      <c r="J36">
        <v>41224</v>
      </c>
      <c r="K36">
        <v>18859</v>
      </c>
      <c r="L36">
        <v>5885</v>
      </c>
      <c r="M36">
        <v>16480</v>
      </c>
      <c r="N36">
        <v>23</v>
      </c>
      <c r="O36" t="s">
        <v>34</v>
      </c>
      <c r="P36" t="s">
        <v>99</v>
      </c>
      <c r="Q36" s="1">
        <v>45207</v>
      </c>
      <c r="R36" s="1">
        <v>45200</v>
      </c>
      <c r="S36" t="s">
        <v>52</v>
      </c>
      <c r="T36" s="1">
        <v>45200</v>
      </c>
      <c r="U36">
        <v>2023</v>
      </c>
    </row>
    <row r="37" spans="1:21" x14ac:dyDescent="0.3">
      <c r="A37" t="s">
        <v>122</v>
      </c>
      <c r="B37" t="s">
        <v>72</v>
      </c>
      <c r="C37" t="s">
        <v>47</v>
      </c>
      <c r="D37" t="s">
        <v>123</v>
      </c>
      <c r="E37" s="1">
        <v>45171</v>
      </c>
      <c r="F37" t="s">
        <v>57</v>
      </c>
      <c r="G37" t="s">
        <v>26</v>
      </c>
      <c r="H37">
        <v>10</v>
      </c>
      <c r="I37">
        <v>26561</v>
      </c>
      <c r="J37">
        <v>265610</v>
      </c>
      <c r="K37">
        <v>155673</v>
      </c>
      <c r="L37">
        <v>34998</v>
      </c>
      <c r="M37">
        <v>74939</v>
      </c>
      <c r="N37">
        <v>3</v>
      </c>
      <c r="O37" t="s">
        <v>27</v>
      </c>
      <c r="P37" t="s">
        <v>67</v>
      </c>
      <c r="Q37" s="1">
        <v>45165</v>
      </c>
      <c r="R37" s="1">
        <v>45108</v>
      </c>
      <c r="S37" t="s">
        <v>104</v>
      </c>
      <c r="T37" s="1">
        <v>45170</v>
      </c>
      <c r="U37">
        <v>2023</v>
      </c>
    </row>
    <row r="38" spans="1:21" x14ac:dyDescent="0.3">
      <c r="A38" t="s">
        <v>124</v>
      </c>
      <c r="B38" t="s">
        <v>37</v>
      </c>
      <c r="C38" t="s">
        <v>38</v>
      </c>
      <c r="D38" t="s">
        <v>125</v>
      </c>
      <c r="E38" s="1">
        <v>45116</v>
      </c>
      <c r="F38" t="s">
        <v>40</v>
      </c>
      <c r="G38" t="s">
        <v>41</v>
      </c>
      <c r="H38">
        <v>6</v>
      </c>
      <c r="I38">
        <v>58650</v>
      </c>
      <c r="J38">
        <v>351900</v>
      </c>
      <c r="K38">
        <v>203795</v>
      </c>
      <c r="L38">
        <v>67125</v>
      </c>
      <c r="M38">
        <v>80980</v>
      </c>
      <c r="N38">
        <v>5</v>
      </c>
      <c r="O38" t="s">
        <v>42</v>
      </c>
      <c r="P38" t="s">
        <v>28</v>
      </c>
      <c r="Q38" s="1">
        <v>45116</v>
      </c>
      <c r="R38" s="1">
        <v>45108</v>
      </c>
      <c r="S38" t="s">
        <v>29</v>
      </c>
      <c r="T38" s="1">
        <v>45108</v>
      </c>
      <c r="U38">
        <v>2023</v>
      </c>
    </row>
    <row r="39" spans="1:21" x14ac:dyDescent="0.3">
      <c r="A39" t="s">
        <v>126</v>
      </c>
      <c r="B39" t="s">
        <v>22</v>
      </c>
      <c r="C39" t="s">
        <v>23</v>
      </c>
      <c r="D39" t="s">
        <v>66</v>
      </c>
      <c r="E39" s="1">
        <v>45202</v>
      </c>
      <c r="F39" t="s">
        <v>25</v>
      </c>
      <c r="G39" t="s">
        <v>81</v>
      </c>
      <c r="H39">
        <v>7</v>
      </c>
      <c r="I39">
        <v>5132</v>
      </c>
      <c r="J39">
        <v>35924</v>
      </c>
      <c r="K39">
        <v>15452</v>
      </c>
      <c r="L39">
        <v>7159</v>
      </c>
      <c r="M39">
        <v>13313</v>
      </c>
      <c r="N39">
        <v>40</v>
      </c>
      <c r="O39" t="s">
        <v>42</v>
      </c>
      <c r="P39" t="s">
        <v>62</v>
      </c>
      <c r="Q39" s="1">
        <v>45200</v>
      </c>
      <c r="R39" s="1">
        <v>45200</v>
      </c>
      <c r="S39" t="s">
        <v>52</v>
      </c>
      <c r="T39" s="1">
        <v>45200</v>
      </c>
      <c r="U39">
        <v>2023</v>
      </c>
    </row>
    <row r="40" spans="1:21" x14ac:dyDescent="0.3">
      <c r="A40" t="s">
        <v>127</v>
      </c>
      <c r="B40" t="s">
        <v>72</v>
      </c>
      <c r="C40" t="s">
        <v>47</v>
      </c>
      <c r="D40" t="s">
        <v>128</v>
      </c>
      <c r="E40" s="1">
        <v>44944</v>
      </c>
      <c r="F40" t="s">
        <v>25</v>
      </c>
      <c r="G40" t="s">
        <v>26</v>
      </c>
      <c r="H40">
        <v>6</v>
      </c>
      <c r="I40">
        <v>16653</v>
      </c>
      <c r="J40">
        <v>99918</v>
      </c>
      <c r="K40">
        <v>59057</v>
      </c>
      <c r="L40">
        <v>16557</v>
      </c>
      <c r="M40">
        <v>24304</v>
      </c>
      <c r="N40">
        <v>23</v>
      </c>
      <c r="O40" t="s">
        <v>61</v>
      </c>
      <c r="P40" t="s">
        <v>43</v>
      </c>
      <c r="Q40" s="1">
        <v>44941</v>
      </c>
      <c r="R40" s="1">
        <v>44927</v>
      </c>
      <c r="S40" t="s">
        <v>95</v>
      </c>
      <c r="T40" s="1">
        <v>44927</v>
      </c>
      <c r="U40">
        <v>2023</v>
      </c>
    </row>
    <row r="41" spans="1:21" x14ac:dyDescent="0.3">
      <c r="A41" t="s">
        <v>129</v>
      </c>
      <c r="B41" t="s">
        <v>31</v>
      </c>
      <c r="C41" t="s">
        <v>23</v>
      </c>
      <c r="D41" t="s">
        <v>39</v>
      </c>
      <c r="E41" s="1">
        <v>44998</v>
      </c>
      <c r="F41" t="s">
        <v>49</v>
      </c>
      <c r="G41" t="s">
        <v>64</v>
      </c>
      <c r="H41">
        <v>9</v>
      </c>
      <c r="I41">
        <v>2906</v>
      </c>
      <c r="J41">
        <v>26154</v>
      </c>
      <c r="K41">
        <v>8017</v>
      </c>
      <c r="L41">
        <v>2643</v>
      </c>
      <c r="M41">
        <v>15494</v>
      </c>
      <c r="N41">
        <v>18</v>
      </c>
      <c r="O41" t="s">
        <v>61</v>
      </c>
      <c r="P41" t="s">
        <v>51</v>
      </c>
      <c r="Q41" s="1">
        <v>44997</v>
      </c>
      <c r="R41" s="1">
        <v>44927</v>
      </c>
      <c r="S41" t="s">
        <v>44</v>
      </c>
      <c r="T41" s="1">
        <v>44986</v>
      </c>
      <c r="U41">
        <v>2023</v>
      </c>
    </row>
    <row r="42" spans="1:21" x14ac:dyDescent="0.3">
      <c r="A42" t="s">
        <v>130</v>
      </c>
      <c r="B42" t="s">
        <v>72</v>
      </c>
      <c r="C42" t="s">
        <v>47</v>
      </c>
      <c r="D42" t="s">
        <v>54</v>
      </c>
      <c r="E42" s="1">
        <v>44935</v>
      </c>
      <c r="F42" t="s">
        <v>40</v>
      </c>
      <c r="G42" t="s">
        <v>58</v>
      </c>
      <c r="H42">
        <v>10</v>
      </c>
      <c r="I42">
        <v>48420</v>
      </c>
      <c r="J42">
        <v>484200</v>
      </c>
      <c r="K42">
        <v>203783</v>
      </c>
      <c r="L42">
        <v>71104</v>
      </c>
      <c r="M42">
        <v>209313</v>
      </c>
      <c r="N42">
        <v>48</v>
      </c>
      <c r="O42" t="s">
        <v>61</v>
      </c>
      <c r="P42" t="s">
        <v>51</v>
      </c>
      <c r="Q42" s="1">
        <v>44934</v>
      </c>
      <c r="R42" s="1">
        <v>44927</v>
      </c>
      <c r="S42" t="s">
        <v>95</v>
      </c>
      <c r="T42" s="1">
        <v>44927</v>
      </c>
      <c r="U42">
        <v>2023</v>
      </c>
    </row>
    <row r="43" spans="1:21" x14ac:dyDescent="0.3">
      <c r="A43" t="s">
        <v>131</v>
      </c>
      <c r="B43" t="s">
        <v>31</v>
      </c>
      <c r="C43" t="s">
        <v>23</v>
      </c>
      <c r="D43" t="s">
        <v>76</v>
      </c>
      <c r="E43" s="1">
        <v>45152</v>
      </c>
      <c r="F43" t="s">
        <v>25</v>
      </c>
      <c r="G43" t="s">
        <v>26</v>
      </c>
      <c r="H43">
        <v>10</v>
      </c>
      <c r="I43">
        <v>46210</v>
      </c>
      <c r="J43">
        <v>462100</v>
      </c>
      <c r="K43">
        <v>213353</v>
      </c>
      <c r="L43">
        <v>89408</v>
      </c>
      <c r="M43">
        <v>159339</v>
      </c>
      <c r="N43">
        <v>1</v>
      </c>
      <c r="O43" t="s">
        <v>34</v>
      </c>
      <c r="P43" t="s">
        <v>51</v>
      </c>
      <c r="Q43" s="1">
        <v>45151</v>
      </c>
      <c r="R43" s="1">
        <v>45108</v>
      </c>
      <c r="S43" t="s">
        <v>92</v>
      </c>
      <c r="T43" s="1">
        <v>45139</v>
      </c>
      <c r="U43">
        <v>2023</v>
      </c>
    </row>
    <row r="44" spans="1:21" x14ac:dyDescent="0.3">
      <c r="A44" t="s">
        <v>132</v>
      </c>
      <c r="B44" t="s">
        <v>37</v>
      </c>
      <c r="C44" t="s">
        <v>38</v>
      </c>
      <c r="D44" t="s">
        <v>133</v>
      </c>
      <c r="E44" s="1">
        <v>45193</v>
      </c>
      <c r="F44" t="s">
        <v>49</v>
      </c>
      <c r="G44" t="s">
        <v>33</v>
      </c>
      <c r="H44">
        <v>8</v>
      </c>
      <c r="I44">
        <v>11799</v>
      </c>
      <c r="J44">
        <v>94392</v>
      </c>
      <c r="K44">
        <v>38289</v>
      </c>
      <c r="L44">
        <v>15529</v>
      </c>
      <c r="M44">
        <v>40574</v>
      </c>
      <c r="N44">
        <v>48</v>
      </c>
      <c r="O44" t="s">
        <v>27</v>
      </c>
      <c r="P44" t="s">
        <v>28</v>
      </c>
      <c r="Q44" s="1">
        <v>45193</v>
      </c>
      <c r="R44" s="1">
        <v>45108</v>
      </c>
      <c r="S44" t="s">
        <v>104</v>
      </c>
      <c r="T44" s="1">
        <v>45170</v>
      </c>
      <c r="U44">
        <v>2023</v>
      </c>
    </row>
    <row r="45" spans="1:21" x14ac:dyDescent="0.3">
      <c r="A45" t="s">
        <v>134</v>
      </c>
      <c r="B45" t="s">
        <v>72</v>
      </c>
      <c r="C45" t="s">
        <v>47</v>
      </c>
      <c r="D45" t="s">
        <v>135</v>
      </c>
      <c r="E45" s="1">
        <v>45116</v>
      </c>
      <c r="F45" t="s">
        <v>25</v>
      </c>
      <c r="G45" t="s">
        <v>26</v>
      </c>
      <c r="H45">
        <v>3</v>
      </c>
      <c r="I45">
        <v>23232</v>
      </c>
      <c r="J45">
        <v>69696</v>
      </c>
      <c r="K45">
        <v>28017</v>
      </c>
      <c r="L45">
        <v>12840</v>
      </c>
      <c r="M45">
        <v>28839</v>
      </c>
      <c r="N45">
        <v>35</v>
      </c>
      <c r="O45" t="s">
        <v>27</v>
      </c>
      <c r="P45" t="s">
        <v>28</v>
      </c>
      <c r="Q45" s="1">
        <v>45116</v>
      </c>
      <c r="R45" s="1">
        <v>45108</v>
      </c>
      <c r="S45" t="s">
        <v>29</v>
      </c>
      <c r="T45" s="1">
        <v>45108</v>
      </c>
      <c r="U45">
        <v>2023</v>
      </c>
    </row>
    <row r="46" spans="1:21" x14ac:dyDescent="0.3">
      <c r="A46" t="s">
        <v>136</v>
      </c>
      <c r="B46" t="s">
        <v>46</v>
      </c>
      <c r="C46" t="s">
        <v>47</v>
      </c>
      <c r="D46" t="s">
        <v>137</v>
      </c>
      <c r="E46" s="1">
        <v>45249</v>
      </c>
      <c r="F46" t="s">
        <v>40</v>
      </c>
      <c r="G46" t="s">
        <v>64</v>
      </c>
      <c r="H46">
        <v>10</v>
      </c>
      <c r="I46">
        <v>6808</v>
      </c>
      <c r="J46">
        <v>68080</v>
      </c>
      <c r="K46">
        <v>20687</v>
      </c>
      <c r="L46">
        <v>11717</v>
      </c>
      <c r="M46">
        <v>35676</v>
      </c>
      <c r="N46">
        <v>5</v>
      </c>
      <c r="O46" t="s">
        <v>50</v>
      </c>
      <c r="P46" t="s">
        <v>28</v>
      </c>
      <c r="Q46" s="1">
        <v>45249</v>
      </c>
      <c r="R46" s="1">
        <v>45200</v>
      </c>
      <c r="S46" t="s">
        <v>138</v>
      </c>
      <c r="T46" s="1">
        <v>45231</v>
      </c>
      <c r="U46">
        <v>2023</v>
      </c>
    </row>
    <row r="47" spans="1:21" x14ac:dyDescent="0.3">
      <c r="A47" t="s">
        <v>139</v>
      </c>
      <c r="B47" t="s">
        <v>37</v>
      </c>
      <c r="C47" t="s">
        <v>38</v>
      </c>
      <c r="D47" t="s">
        <v>60</v>
      </c>
      <c r="E47" s="1">
        <v>45113</v>
      </c>
      <c r="F47" t="s">
        <v>57</v>
      </c>
      <c r="G47" t="s">
        <v>26</v>
      </c>
      <c r="H47">
        <v>3</v>
      </c>
      <c r="I47">
        <v>24891</v>
      </c>
      <c r="J47">
        <v>74673</v>
      </c>
      <c r="K47">
        <v>32570</v>
      </c>
      <c r="L47">
        <v>13238</v>
      </c>
      <c r="M47">
        <v>28865</v>
      </c>
      <c r="N47">
        <v>16</v>
      </c>
      <c r="O47" t="s">
        <v>27</v>
      </c>
      <c r="P47" t="s">
        <v>84</v>
      </c>
      <c r="Q47" s="1">
        <v>45109</v>
      </c>
      <c r="R47" s="1">
        <v>45108</v>
      </c>
      <c r="S47" t="s">
        <v>29</v>
      </c>
      <c r="T47" s="1">
        <v>45108</v>
      </c>
      <c r="U47">
        <v>2023</v>
      </c>
    </row>
    <row r="48" spans="1:21" x14ac:dyDescent="0.3">
      <c r="A48" t="s">
        <v>140</v>
      </c>
      <c r="B48" t="s">
        <v>46</v>
      </c>
      <c r="C48" t="s">
        <v>47</v>
      </c>
      <c r="D48" t="s">
        <v>117</v>
      </c>
      <c r="E48" s="1">
        <v>44986</v>
      </c>
      <c r="F48" t="s">
        <v>49</v>
      </c>
      <c r="G48" t="s">
        <v>26</v>
      </c>
      <c r="H48">
        <v>6</v>
      </c>
      <c r="I48">
        <v>26760</v>
      </c>
      <c r="J48">
        <v>160560</v>
      </c>
      <c r="K48">
        <v>59261</v>
      </c>
      <c r="L48">
        <v>30841</v>
      </c>
      <c r="M48">
        <v>70458</v>
      </c>
      <c r="N48">
        <v>4</v>
      </c>
      <c r="O48" t="s">
        <v>50</v>
      </c>
      <c r="P48" t="s">
        <v>43</v>
      </c>
      <c r="Q48" s="1">
        <v>44983</v>
      </c>
      <c r="R48" s="1">
        <v>44927</v>
      </c>
      <c r="S48" t="s">
        <v>44</v>
      </c>
      <c r="T48" s="1">
        <v>44986</v>
      </c>
      <c r="U48">
        <v>2023</v>
      </c>
    </row>
    <row r="49" spans="1:21" x14ac:dyDescent="0.3">
      <c r="A49" t="s">
        <v>141</v>
      </c>
      <c r="B49" t="s">
        <v>37</v>
      </c>
      <c r="C49" t="s">
        <v>38</v>
      </c>
      <c r="D49" t="s">
        <v>142</v>
      </c>
      <c r="E49" s="1">
        <v>45124</v>
      </c>
      <c r="F49" t="s">
        <v>25</v>
      </c>
      <c r="G49" t="s">
        <v>58</v>
      </c>
      <c r="H49">
        <v>9</v>
      </c>
      <c r="I49">
        <v>38039</v>
      </c>
      <c r="J49">
        <v>342351</v>
      </c>
      <c r="K49">
        <v>164813</v>
      </c>
      <c r="L49">
        <v>67344</v>
      </c>
      <c r="M49">
        <v>110194</v>
      </c>
      <c r="N49">
        <v>28</v>
      </c>
      <c r="O49" t="s">
        <v>27</v>
      </c>
      <c r="P49" t="s">
        <v>51</v>
      </c>
      <c r="Q49" s="1">
        <v>45123</v>
      </c>
      <c r="R49" s="1">
        <v>45108</v>
      </c>
      <c r="S49" t="s">
        <v>29</v>
      </c>
      <c r="T49" s="1">
        <v>45108</v>
      </c>
      <c r="U49">
        <v>2023</v>
      </c>
    </row>
    <row r="50" spans="1:21" x14ac:dyDescent="0.3">
      <c r="A50" t="s">
        <v>143</v>
      </c>
      <c r="B50" t="s">
        <v>31</v>
      </c>
      <c r="C50" t="s">
        <v>23</v>
      </c>
      <c r="D50" t="s">
        <v>121</v>
      </c>
      <c r="E50" s="1">
        <v>44935</v>
      </c>
      <c r="F50" t="s">
        <v>25</v>
      </c>
      <c r="G50" t="s">
        <v>58</v>
      </c>
      <c r="H50">
        <v>8</v>
      </c>
      <c r="I50">
        <v>11519</v>
      </c>
      <c r="J50">
        <v>92152</v>
      </c>
      <c r="K50">
        <v>33227</v>
      </c>
      <c r="L50">
        <v>11520</v>
      </c>
      <c r="M50">
        <v>47405</v>
      </c>
      <c r="N50">
        <v>27</v>
      </c>
      <c r="O50" t="s">
        <v>61</v>
      </c>
      <c r="P50" t="s">
        <v>51</v>
      </c>
      <c r="Q50" s="1">
        <v>44934</v>
      </c>
      <c r="R50" s="1">
        <v>44927</v>
      </c>
      <c r="S50" t="s">
        <v>95</v>
      </c>
      <c r="T50" s="1">
        <v>44927</v>
      </c>
      <c r="U50">
        <v>2023</v>
      </c>
    </row>
    <row r="51" spans="1:21" x14ac:dyDescent="0.3">
      <c r="A51" t="s">
        <v>144</v>
      </c>
      <c r="B51" t="s">
        <v>46</v>
      </c>
      <c r="C51" t="s">
        <v>47</v>
      </c>
      <c r="D51" t="s">
        <v>145</v>
      </c>
      <c r="E51" s="1">
        <v>45181</v>
      </c>
      <c r="F51" t="s">
        <v>49</v>
      </c>
      <c r="G51" t="s">
        <v>33</v>
      </c>
      <c r="H51">
        <v>10</v>
      </c>
      <c r="I51">
        <v>46613</v>
      </c>
      <c r="J51">
        <v>466130</v>
      </c>
      <c r="K51">
        <v>263705</v>
      </c>
      <c r="L51">
        <v>87632</v>
      </c>
      <c r="M51">
        <v>114793</v>
      </c>
      <c r="N51">
        <v>34</v>
      </c>
      <c r="O51" t="s">
        <v>27</v>
      </c>
      <c r="P51" t="s">
        <v>62</v>
      </c>
      <c r="Q51" s="1">
        <v>45179</v>
      </c>
      <c r="R51" s="1">
        <v>45108</v>
      </c>
      <c r="S51" t="s">
        <v>104</v>
      </c>
      <c r="T51" s="1">
        <v>45170</v>
      </c>
      <c r="U51">
        <v>2023</v>
      </c>
    </row>
    <row r="52" spans="1:21" x14ac:dyDescent="0.3">
      <c r="A52" t="s">
        <v>146</v>
      </c>
      <c r="B52" t="s">
        <v>22</v>
      </c>
      <c r="C52" t="s">
        <v>23</v>
      </c>
      <c r="D52" t="s">
        <v>114</v>
      </c>
      <c r="E52" s="1">
        <v>45106</v>
      </c>
      <c r="F52" t="s">
        <v>57</v>
      </c>
      <c r="G52" t="s">
        <v>26</v>
      </c>
      <c r="H52">
        <v>1</v>
      </c>
      <c r="I52">
        <v>27262</v>
      </c>
      <c r="J52">
        <v>27262</v>
      </c>
      <c r="K52">
        <v>10395</v>
      </c>
      <c r="L52">
        <v>4318</v>
      </c>
      <c r="M52">
        <v>12549</v>
      </c>
      <c r="N52">
        <v>31</v>
      </c>
      <c r="O52" t="s">
        <v>27</v>
      </c>
      <c r="P52" t="s">
        <v>84</v>
      </c>
      <c r="Q52" s="1">
        <v>45102</v>
      </c>
      <c r="R52" s="1">
        <v>45017</v>
      </c>
      <c r="S52" t="s">
        <v>35</v>
      </c>
      <c r="T52" s="1">
        <v>45078</v>
      </c>
      <c r="U52">
        <v>2023</v>
      </c>
    </row>
    <row r="53" spans="1:21" x14ac:dyDescent="0.3">
      <c r="A53" t="s">
        <v>147</v>
      </c>
      <c r="B53" t="s">
        <v>46</v>
      </c>
      <c r="C53" t="s">
        <v>47</v>
      </c>
      <c r="D53" t="s">
        <v>148</v>
      </c>
      <c r="E53" s="1">
        <v>45179</v>
      </c>
      <c r="F53" t="s">
        <v>25</v>
      </c>
      <c r="G53" t="s">
        <v>98</v>
      </c>
      <c r="H53">
        <v>2</v>
      </c>
      <c r="I53">
        <v>31432</v>
      </c>
      <c r="J53">
        <v>62864</v>
      </c>
      <c r="K53">
        <v>31551</v>
      </c>
      <c r="L53">
        <v>10867</v>
      </c>
      <c r="M53">
        <v>20446</v>
      </c>
      <c r="N53">
        <v>13</v>
      </c>
      <c r="O53" t="s">
        <v>61</v>
      </c>
      <c r="P53" t="s">
        <v>28</v>
      </c>
      <c r="Q53" s="1">
        <v>45179</v>
      </c>
      <c r="R53" s="1">
        <v>45108</v>
      </c>
      <c r="S53" t="s">
        <v>104</v>
      </c>
      <c r="T53" s="1">
        <v>45170</v>
      </c>
      <c r="U53">
        <v>2023</v>
      </c>
    </row>
    <row r="54" spans="1:21" x14ac:dyDescent="0.3">
      <c r="A54" t="s">
        <v>149</v>
      </c>
      <c r="B54" t="s">
        <v>46</v>
      </c>
      <c r="C54" t="s">
        <v>47</v>
      </c>
      <c r="D54" t="s">
        <v>39</v>
      </c>
      <c r="E54" s="1">
        <v>44937</v>
      </c>
      <c r="F54" t="s">
        <v>25</v>
      </c>
      <c r="G54" t="s">
        <v>58</v>
      </c>
      <c r="H54">
        <v>3</v>
      </c>
      <c r="I54">
        <v>40949</v>
      </c>
      <c r="J54">
        <v>122847</v>
      </c>
      <c r="K54">
        <v>50657</v>
      </c>
      <c r="L54">
        <v>15750</v>
      </c>
      <c r="M54">
        <v>56440</v>
      </c>
      <c r="N54">
        <v>9</v>
      </c>
      <c r="O54" t="s">
        <v>42</v>
      </c>
      <c r="P54" t="s">
        <v>43</v>
      </c>
      <c r="Q54" s="1">
        <v>44934</v>
      </c>
      <c r="R54" s="1">
        <v>44927</v>
      </c>
      <c r="S54" t="s">
        <v>95</v>
      </c>
      <c r="T54" s="1">
        <v>44927</v>
      </c>
      <c r="U54">
        <v>2023</v>
      </c>
    </row>
    <row r="55" spans="1:21" x14ac:dyDescent="0.3">
      <c r="A55" t="s">
        <v>150</v>
      </c>
      <c r="B55" t="s">
        <v>37</v>
      </c>
      <c r="C55" t="s">
        <v>38</v>
      </c>
      <c r="D55" t="s">
        <v>125</v>
      </c>
      <c r="E55" s="1">
        <v>45118</v>
      </c>
      <c r="F55" t="s">
        <v>49</v>
      </c>
      <c r="G55" t="s">
        <v>58</v>
      </c>
      <c r="H55">
        <v>4</v>
      </c>
      <c r="I55">
        <v>22444</v>
      </c>
      <c r="J55">
        <v>89776</v>
      </c>
      <c r="K55">
        <v>39595</v>
      </c>
      <c r="L55">
        <v>12762</v>
      </c>
      <c r="M55">
        <v>37419</v>
      </c>
      <c r="N55">
        <v>36</v>
      </c>
      <c r="O55" t="s">
        <v>61</v>
      </c>
      <c r="P55" t="s">
        <v>62</v>
      </c>
      <c r="Q55" s="1">
        <v>45116</v>
      </c>
      <c r="R55" s="1">
        <v>45108</v>
      </c>
      <c r="S55" t="s">
        <v>29</v>
      </c>
      <c r="T55" s="1">
        <v>45108</v>
      </c>
      <c r="U55">
        <v>2023</v>
      </c>
    </row>
    <row r="56" spans="1:21" x14ac:dyDescent="0.3">
      <c r="A56" t="s">
        <v>151</v>
      </c>
      <c r="B56" t="s">
        <v>31</v>
      </c>
      <c r="C56" t="s">
        <v>23</v>
      </c>
      <c r="D56" t="s">
        <v>152</v>
      </c>
      <c r="E56" s="1">
        <v>45056</v>
      </c>
      <c r="F56" t="s">
        <v>40</v>
      </c>
      <c r="G56" t="s">
        <v>26</v>
      </c>
      <c r="H56">
        <v>7</v>
      </c>
      <c r="I56">
        <v>5302</v>
      </c>
      <c r="J56">
        <v>37114</v>
      </c>
      <c r="K56">
        <v>22078</v>
      </c>
      <c r="L56">
        <v>4998</v>
      </c>
      <c r="M56">
        <v>10038</v>
      </c>
      <c r="N56">
        <v>11</v>
      </c>
      <c r="O56" t="s">
        <v>27</v>
      </c>
      <c r="P56" t="s">
        <v>43</v>
      </c>
      <c r="Q56" s="1">
        <v>45053</v>
      </c>
      <c r="R56" s="1">
        <v>45017</v>
      </c>
      <c r="S56" t="s">
        <v>68</v>
      </c>
      <c r="T56" s="1">
        <v>45047</v>
      </c>
      <c r="U56">
        <v>2023</v>
      </c>
    </row>
    <row r="57" spans="1:21" x14ac:dyDescent="0.3">
      <c r="A57" t="s">
        <v>153</v>
      </c>
      <c r="B57" t="s">
        <v>37</v>
      </c>
      <c r="C57" t="s">
        <v>38</v>
      </c>
      <c r="D57" t="s">
        <v>154</v>
      </c>
      <c r="E57" s="1">
        <v>45037</v>
      </c>
      <c r="F57" t="s">
        <v>49</v>
      </c>
      <c r="G57" t="s">
        <v>98</v>
      </c>
      <c r="H57">
        <v>10</v>
      </c>
      <c r="I57">
        <v>22104</v>
      </c>
      <c r="J57">
        <v>221040</v>
      </c>
      <c r="K57">
        <v>119802</v>
      </c>
      <c r="L57">
        <v>43931</v>
      </c>
      <c r="M57">
        <v>57307</v>
      </c>
      <c r="N57">
        <v>22</v>
      </c>
      <c r="O57" t="s">
        <v>27</v>
      </c>
      <c r="P57" t="s">
        <v>99</v>
      </c>
      <c r="Q57" s="1">
        <v>45032</v>
      </c>
      <c r="R57" s="1">
        <v>45017</v>
      </c>
      <c r="S57" t="s">
        <v>74</v>
      </c>
      <c r="T57" s="1">
        <v>45017</v>
      </c>
      <c r="U57">
        <v>2023</v>
      </c>
    </row>
    <row r="58" spans="1:21" x14ac:dyDescent="0.3">
      <c r="A58" t="s">
        <v>155</v>
      </c>
      <c r="B58" t="s">
        <v>46</v>
      </c>
      <c r="C58" t="s">
        <v>47</v>
      </c>
      <c r="D58" t="s">
        <v>106</v>
      </c>
      <c r="E58" s="1">
        <v>45242</v>
      </c>
      <c r="F58" t="s">
        <v>40</v>
      </c>
      <c r="G58" t="s">
        <v>33</v>
      </c>
      <c r="H58">
        <v>6</v>
      </c>
      <c r="I58">
        <v>32989</v>
      </c>
      <c r="J58">
        <v>197934</v>
      </c>
      <c r="K58">
        <v>114430</v>
      </c>
      <c r="L58">
        <v>33863</v>
      </c>
      <c r="M58">
        <v>49641</v>
      </c>
      <c r="N58">
        <v>16</v>
      </c>
      <c r="O58" t="s">
        <v>42</v>
      </c>
      <c r="P58" t="s">
        <v>28</v>
      </c>
      <c r="Q58" s="1">
        <v>45242</v>
      </c>
      <c r="R58" s="1">
        <v>45200</v>
      </c>
      <c r="S58" t="s">
        <v>138</v>
      </c>
      <c r="T58" s="1">
        <v>45231</v>
      </c>
      <c r="U58">
        <v>2023</v>
      </c>
    </row>
    <row r="59" spans="1:21" x14ac:dyDescent="0.3">
      <c r="A59" t="s">
        <v>156</v>
      </c>
      <c r="B59" t="s">
        <v>46</v>
      </c>
      <c r="C59" t="s">
        <v>47</v>
      </c>
      <c r="D59" t="s">
        <v>135</v>
      </c>
      <c r="E59" s="1">
        <v>45176</v>
      </c>
      <c r="F59" t="s">
        <v>40</v>
      </c>
      <c r="G59" t="s">
        <v>41</v>
      </c>
      <c r="H59">
        <v>3</v>
      </c>
      <c r="I59">
        <v>3580</v>
      </c>
      <c r="J59">
        <v>10740</v>
      </c>
      <c r="K59">
        <v>3303</v>
      </c>
      <c r="L59">
        <v>2110</v>
      </c>
      <c r="M59">
        <v>5327</v>
      </c>
      <c r="N59">
        <v>24</v>
      </c>
      <c r="O59" t="s">
        <v>42</v>
      </c>
      <c r="P59" t="s">
        <v>84</v>
      </c>
      <c r="Q59" s="1">
        <v>45172</v>
      </c>
      <c r="R59" s="1">
        <v>45108</v>
      </c>
      <c r="S59" t="s">
        <v>104</v>
      </c>
      <c r="T59" s="1">
        <v>45170</v>
      </c>
      <c r="U59">
        <v>2023</v>
      </c>
    </row>
    <row r="60" spans="1:21" x14ac:dyDescent="0.3">
      <c r="A60" t="s">
        <v>157</v>
      </c>
      <c r="B60" t="s">
        <v>22</v>
      </c>
      <c r="C60" t="s">
        <v>23</v>
      </c>
      <c r="D60" t="s">
        <v>142</v>
      </c>
      <c r="E60" s="1">
        <v>45061</v>
      </c>
      <c r="F60" t="s">
        <v>40</v>
      </c>
      <c r="G60" t="s">
        <v>64</v>
      </c>
      <c r="H60">
        <v>3</v>
      </c>
      <c r="I60">
        <v>36452</v>
      </c>
      <c r="J60">
        <v>109356</v>
      </c>
      <c r="K60">
        <v>50856</v>
      </c>
      <c r="L60">
        <v>15341</v>
      </c>
      <c r="M60">
        <v>43159</v>
      </c>
      <c r="N60">
        <v>3</v>
      </c>
      <c r="O60" t="s">
        <v>50</v>
      </c>
      <c r="P60" t="s">
        <v>51</v>
      </c>
      <c r="Q60" s="1">
        <v>45060</v>
      </c>
      <c r="R60" s="1">
        <v>45017</v>
      </c>
      <c r="S60" t="s">
        <v>68</v>
      </c>
      <c r="T60" s="1">
        <v>45047</v>
      </c>
      <c r="U60">
        <v>2023</v>
      </c>
    </row>
    <row r="61" spans="1:21" x14ac:dyDescent="0.3">
      <c r="A61" t="s">
        <v>158</v>
      </c>
      <c r="B61" t="s">
        <v>72</v>
      </c>
      <c r="C61" t="s">
        <v>47</v>
      </c>
      <c r="D61" t="s">
        <v>97</v>
      </c>
      <c r="E61" s="1">
        <v>45219</v>
      </c>
      <c r="F61" t="s">
        <v>25</v>
      </c>
      <c r="G61" t="s">
        <v>41</v>
      </c>
      <c r="H61">
        <v>6</v>
      </c>
      <c r="I61">
        <v>56558</v>
      </c>
      <c r="J61">
        <v>339348</v>
      </c>
      <c r="K61">
        <v>145337</v>
      </c>
      <c r="L61">
        <v>42901</v>
      </c>
      <c r="M61">
        <v>151110</v>
      </c>
      <c r="N61">
        <v>44</v>
      </c>
      <c r="O61" t="s">
        <v>50</v>
      </c>
      <c r="P61" t="s">
        <v>99</v>
      </c>
      <c r="Q61" s="1">
        <v>45214</v>
      </c>
      <c r="R61" s="1">
        <v>45200</v>
      </c>
      <c r="S61" t="s">
        <v>52</v>
      </c>
      <c r="T61" s="1">
        <v>45200</v>
      </c>
      <c r="U61">
        <v>2023</v>
      </c>
    </row>
    <row r="62" spans="1:21" x14ac:dyDescent="0.3">
      <c r="A62" t="s">
        <v>159</v>
      </c>
      <c r="B62" t="s">
        <v>31</v>
      </c>
      <c r="C62" t="s">
        <v>23</v>
      </c>
      <c r="D62" t="s">
        <v>78</v>
      </c>
      <c r="E62" s="1">
        <v>44957</v>
      </c>
      <c r="F62" t="s">
        <v>57</v>
      </c>
      <c r="G62" t="s">
        <v>64</v>
      </c>
      <c r="H62">
        <v>5</v>
      </c>
      <c r="I62">
        <v>3942</v>
      </c>
      <c r="J62">
        <v>19710</v>
      </c>
      <c r="K62">
        <v>8855</v>
      </c>
      <c r="L62">
        <v>3301</v>
      </c>
      <c r="M62">
        <v>7554</v>
      </c>
      <c r="N62">
        <v>22</v>
      </c>
      <c r="O62" t="s">
        <v>27</v>
      </c>
      <c r="P62" t="s">
        <v>62</v>
      </c>
      <c r="Q62" s="1">
        <v>44955</v>
      </c>
      <c r="R62" s="1">
        <v>44927</v>
      </c>
      <c r="S62" t="s">
        <v>95</v>
      </c>
      <c r="T62" s="1">
        <v>44927</v>
      </c>
      <c r="U62">
        <v>2023</v>
      </c>
    </row>
    <row r="63" spans="1:21" x14ac:dyDescent="0.3">
      <c r="A63" t="s">
        <v>160</v>
      </c>
      <c r="B63" t="s">
        <v>46</v>
      </c>
      <c r="C63" t="s">
        <v>47</v>
      </c>
      <c r="D63" t="s">
        <v>152</v>
      </c>
      <c r="E63" s="1">
        <v>45099</v>
      </c>
      <c r="F63" t="s">
        <v>40</v>
      </c>
      <c r="G63" t="s">
        <v>64</v>
      </c>
      <c r="H63">
        <v>2</v>
      </c>
      <c r="I63">
        <v>49158</v>
      </c>
      <c r="J63">
        <v>98316</v>
      </c>
      <c r="K63">
        <v>38006</v>
      </c>
      <c r="L63">
        <v>19398</v>
      </c>
      <c r="M63">
        <v>40912</v>
      </c>
      <c r="N63">
        <v>35</v>
      </c>
      <c r="O63" t="s">
        <v>34</v>
      </c>
      <c r="P63" t="s">
        <v>84</v>
      </c>
      <c r="Q63" s="1">
        <v>45095</v>
      </c>
      <c r="R63" s="1">
        <v>45017</v>
      </c>
      <c r="S63" t="s">
        <v>35</v>
      </c>
      <c r="T63" s="1">
        <v>45078</v>
      </c>
      <c r="U63">
        <v>2023</v>
      </c>
    </row>
    <row r="64" spans="1:21" x14ac:dyDescent="0.3">
      <c r="A64" t="s">
        <v>161</v>
      </c>
      <c r="B64" t="s">
        <v>37</v>
      </c>
      <c r="C64" t="s">
        <v>38</v>
      </c>
      <c r="D64" t="s">
        <v>154</v>
      </c>
      <c r="E64" s="1">
        <v>45089</v>
      </c>
      <c r="F64" t="s">
        <v>25</v>
      </c>
      <c r="G64" t="s">
        <v>26</v>
      </c>
      <c r="H64">
        <v>3</v>
      </c>
      <c r="I64">
        <v>13285</v>
      </c>
      <c r="J64">
        <v>39855</v>
      </c>
      <c r="K64">
        <v>17770</v>
      </c>
      <c r="L64">
        <v>4662</v>
      </c>
      <c r="M64">
        <v>17423</v>
      </c>
      <c r="N64">
        <v>43</v>
      </c>
      <c r="O64" t="s">
        <v>50</v>
      </c>
      <c r="P64" t="s">
        <v>51</v>
      </c>
      <c r="Q64" s="1">
        <v>45088</v>
      </c>
      <c r="R64" s="1">
        <v>45017</v>
      </c>
      <c r="S64" t="s">
        <v>35</v>
      </c>
      <c r="T64" s="1">
        <v>45078</v>
      </c>
      <c r="U64">
        <v>2023</v>
      </c>
    </row>
    <row r="65" spans="1:21" x14ac:dyDescent="0.3">
      <c r="A65" t="s">
        <v>162</v>
      </c>
      <c r="B65" t="s">
        <v>22</v>
      </c>
      <c r="C65" t="s">
        <v>23</v>
      </c>
      <c r="D65" t="s">
        <v>163</v>
      </c>
      <c r="E65" s="1">
        <v>45008</v>
      </c>
      <c r="F65" t="s">
        <v>40</v>
      </c>
      <c r="G65" t="s">
        <v>26</v>
      </c>
      <c r="H65">
        <v>1</v>
      </c>
      <c r="I65">
        <v>50051</v>
      </c>
      <c r="J65">
        <v>50051</v>
      </c>
      <c r="K65">
        <v>19291</v>
      </c>
      <c r="L65">
        <v>8255</v>
      </c>
      <c r="M65">
        <v>22505</v>
      </c>
      <c r="N65">
        <v>13</v>
      </c>
      <c r="O65" t="s">
        <v>42</v>
      </c>
      <c r="P65" t="s">
        <v>84</v>
      </c>
      <c r="Q65" s="1">
        <v>45004</v>
      </c>
      <c r="R65" s="1">
        <v>44927</v>
      </c>
      <c r="S65" t="s">
        <v>44</v>
      </c>
      <c r="T65" s="1">
        <v>44986</v>
      </c>
      <c r="U65">
        <v>2023</v>
      </c>
    </row>
    <row r="66" spans="1:21" x14ac:dyDescent="0.3">
      <c r="A66" t="s">
        <v>164</v>
      </c>
      <c r="B66" t="s">
        <v>22</v>
      </c>
      <c r="C66" t="s">
        <v>23</v>
      </c>
      <c r="D66" t="s">
        <v>101</v>
      </c>
      <c r="E66" s="1">
        <v>45238</v>
      </c>
      <c r="F66" t="s">
        <v>57</v>
      </c>
      <c r="G66" t="s">
        <v>26</v>
      </c>
      <c r="H66">
        <v>8</v>
      </c>
      <c r="I66">
        <v>52208</v>
      </c>
      <c r="J66">
        <v>417664</v>
      </c>
      <c r="K66">
        <v>155577</v>
      </c>
      <c r="L66">
        <v>62435</v>
      </c>
      <c r="M66">
        <v>199652</v>
      </c>
      <c r="N66">
        <v>25</v>
      </c>
      <c r="O66" t="s">
        <v>61</v>
      </c>
      <c r="P66" t="s">
        <v>43</v>
      </c>
      <c r="Q66" s="1">
        <v>45235</v>
      </c>
      <c r="R66" s="1">
        <v>45200</v>
      </c>
      <c r="S66" t="s">
        <v>138</v>
      </c>
      <c r="T66" s="1">
        <v>45231</v>
      </c>
      <c r="U66">
        <v>2023</v>
      </c>
    </row>
    <row r="67" spans="1:21" x14ac:dyDescent="0.3">
      <c r="A67" t="s">
        <v>165</v>
      </c>
      <c r="B67" t="s">
        <v>31</v>
      </c>
      <c r="C67" t="s">
        <v>23</v>
      </c>
      <c r="D67" t="s">
        <v>114</v>
      </c>
      <c r="E67" s="1">
        <v>44958</v>
      </c>
      <c r="F67" t="s">
        <v>40</v>
      </c>
      <c r="G67" t="s">
        <v>64</v>
      </c>
      <c r="H67">
        <v>2</v>
      </c>
      <c r="I67">
        <v>62451</v>
      </c>
      <c r="J67">
        <v>124902</v>
      </c>
      <c r="K67">
        <v>47898</v>
      </c>
      <c r="L67">
        <v>16181</v>
      </c>
      <c r="M67">
        <v>60823</v>
      </c>
      <c r="N67">
        <v>47</v>
      </c>
      <c r="O67" t="s">
        <v>61</v>
      </c>
      <c r="P67" t="s">
        <v>43</v>
      </c>
      <c r="Q67" s="1">
        <v>44955</v>
      </c>
      <c r="R67" s="1">
        <v>44927</v>
      </c>
      <c r="S67" t="s">
        <v>85</v>
      </c>
      <c r="T67" s="1">
        <v>44958</v>
      </c>
      <c r="U67">
        <v>2023</v>
      </c>
    </row>
    <row r="68" spans="1:21" x14ac:dyDescent="0.3">
      <c r="A68" t="s">
        <v>166</v>
      </c>
      <c r="B68" t="s">
        <v>46</v>
      </c>
      <c r="C68" t="s">
        <v>47</v>
      </c>
      <c r="D68" t="s">
        <v>125</v>
      </c>
      <c r="E68" s="1">
        <v>45019</v>
      </c>
      <c r="F68" t="s">
        <v>57</v>
      </c>
      <c r="G68" t="s">
        <v>98</v>
      </c>
      <c r="H68">
        <v>5</v>
      </c>
      <c r="I68">
        <v>39436</v>
      </c>
      <c r="J68">
        <v>197180</v>
      </c>
      <c r="K68">
        <v>87435</v>
      </c>
      <c r="L68">
        <v>27332</v>
      </c>
      <c r="M68">
        <v>82413</v>
      </c>
      <c r="N68">
        <v>8</v>
      </c>
      <c r="O68" t="s">
        <v>50</v>
      </c>
      <c r="P68" t="s">
        <v>51</v>
      </c>
      <c r="Q68" s="1">
        <v>45018</v>
      </c>
      <c r="R68" s="1">
        <v>45017</v>
      </c>
      <c r="S68" t="s">
        <v>74</v>
      </c>
      <c r="T68" s="1">
        <v>45017</v>
      </c>
      <c r="U68">
        <v>2023</v>
      </c>
    </row>
    <row r="69" spans="1:21" x14ac:dyDescent="0.3">
      <c r="A69" t="s">
        <v>167</v>
      </c>
      <c r="B69" t="s">
        <v>22</v>
      </c>
      <c r="C69" t="s">
        <v>23</v>
      </c>
      <c r="D69" t="s">
        <v>168</v>
      </c>
      <c r="E69" s="1">
        <v>45140</v>
      </c>
      <c r="F69" t="s">
        <v>57</v>
      </c>
      <c r="G69" t="s">
        <v>58</v>
      </c>
      <c r="H69">
        <v>1</v>
      </c>
      <c r="I69">
        <v>48181</v>
      </c>
      <c r="J69">
        <v>48181</v>
      </c>
      <c r="K69">
        <v>27815</v>
      </c>
      <c r="L69">
        <v>7635</v>
      </c>
      <c r="M69">
        <v>12731</v>
      </c>
      <c r="N69">
        <v>0</v>
      </c>
      <c r="O69" t="s">
        <v>27</v>
      </c>
      <c r="P69" t="s">
        <v>43</v>
      </c>
      <c r="Q69" s="1">
        <v>45137</v>
      </c>
      <c r="R69" s="1">
        <v>45108</v>
      </c>
      <c r="S69" t="s">
        <v>92</v>
      </c>
      <c r="T69" s="1">
        <v>45139</v>
      </c>
      <c r="U69">
        <v>2023</v>
      </c>
    </row>
    <row r="70" spans="1:21" x14ac:dyDescent="0.3">
      <c r="A70" t="s">
        <v>169</v>
      </c>
      <c r="B70" t="s">
        <v>22</v>
      </c>
      <c r="C70" t="s">
        <v>23</v>
      </c>
      <c r="D70" t="s">
        <v>87</v>
      </c>
      <c r="E70" s="1">
        <v>44968</v>
      </c>
      <c r="F70" t="s">
        <v>49</v>
      </c>
      <c r="G70" t="s">
        <v>64</v>
      </c>
      <c r="H70">
        <v>2</v>
      </c>
      <c r="I70">
        <v>45845</v>
      </c>
      <c r="J70">
        <v>91690</v>
      </c>
      <c r="K70">
        <v>42283</v>
      </c>
      <c r="L70">
        <v>16086</v>
      </c>
      <c r="M70">
        <v>33321</v>
      </c>
      <c r="N70">
        <v>5</v>
      </c>
      <c r="O70" t="s">
        <v>61</v>
      </c>
      <c r="P70" t="s">
        <v>67</v>
      </c>
      <c r="Q70" s="1">
        <v>44962</v>
      </c>
      <c r="R70" s="1">
        <v>44927</v>
      </c>
      <c r="S70" t="s">
        <v>85</v>
      </c>
      <c r="T70" s="1">
        <v>44958</v>
      </c>
      <c r="U70">
        <v>2023</v>
      </c>
    </row>
    <row r="71" spans="1:21" x14ac:dyDescent="0.3">
      <c r="A71" t="s">
        <v>170</v>
      </c>
      <c r="B71" t="s">
        <v>46</v>
      </c>
      <c r="C71" t="s">
        <v>47</v>
      </c>
      <c r="D71" t="s">
        <v>135</v>
      </c>
      <c r="E71" s="1">
        <v>44952</v>
      </c>
      <c r="F71" t="s">
        <v>57</v>
      </c>
      <c r="G71" t="s">
        <v>26</v>
      </c>
      <c r="H71">
        <v>1</v>
      </c>
      <c r="I71">
        <v>35573</v>
      </c>
      <c r="J71">
        <v>35573</v>
      </c>
      <c r="K71">
        <v>15949</v>
      </c>
      <c r="L71">
        <v>4259</v>
      </c>
      <c r="M71">
        <v>15365</v>
      </c>
      <c r="N71">
        <v>50</v>
      </c>
      <c r="O71" t="s">
        <v>27</v>
      </c>
      <c r="P71" t="s">
        <v>84</v>
      </c>
      <c r="Q71" s="1">
        <v>44948</v>
      </c>
      <c r="R71" s="1">
        <v>44927</v>
      </c>
      <c r="S71" t="s">
        <v>95</v>
      </c>
      <c r="T71" s="1">
        <v>44927</v>
      </c>
      <c r="U71">
        <v>2023</v>
      </c>
    </row>
    <row r="72" spans="1:21" x14ac:dyDescent="0.3">
      <c r="A72" t="s">
        <v>171</v>
      </c>
      <c r="B72" t="s">
        <v>37</v>
      </c>
      <c r="C72" t="s">
        <v>38</v>
      </c>
      <c r="D72" t="s">
        <v>80</v>
      </c>
      <c r="E72" s="1">
        <v>45007</v>
      </c>
      <c r="F72" t="s">
        <v>57</v>
      </c>
      <c r="G72" t="s">
        <v>64</v>
      </c>
      <c r="H72">
        <v>7</v>
      </c>
      <c r="I72">
        <v>34297</v>
      </c>
      <c r="J72">
        <v>240079</v>
      </c>
      <c r="K72">
        <v>137458</v>
      </c>
      <c r="L72">
        <v>40498</v>
      </c>
      <c r="M72">
        <v>62123</v>
      </c>
      <c r="N72">
        <v>43</v>
      </c>
      <c r="O72" t="s">
        <v>27</v>
      </c>
      <c r="P72" t="s">
        <v>43</v>
      </c>
      <c r="Q72" s="1">
        <v>45004</v>
      </c>
      <c r="R72" s="1">
        <v>44927</v>
      </c>
      <c r="S72" t="s">
        <v>44</v>
      </c>
      <c r="T72" s="1">
        <v>44986</v>
      </c>
      <c r="U72">
        <v>2023</v>
      </c>
    </row>
    <row r="73" spans="1:21" x14ac:dyDescent="0.3">
      <c r="A73" t="s">
        <v>172</v>
      </c>
      <c r="B73" t="s">
        <v>37</v>
      </c>
      <c r="C73" t="s">
        <v>38</v>
      </c>
      <c r="D73" t="s">
        <v>87</v>
      </c>
      <c r="E73" s="1">
        <v>44945</v>
      </c>
      <c r="F73" t="s">
        <v>49</v>
      </c>
      <c r="G73" t="s">
        <v>33</v>
      </c>
      <c r="H73">
        <v>7</v>
      </c>
      <c r="I73">
        <v>8612</v>
      </c>
      <c r="J73">
        <v>60284</v>
      </c>
      <c r="K73">
        <v>32454</v>
      </c>
      <c r="L73">
        <v>7524</v>
      </c>
      <c r="M73">
        <v>20306</v>
      </c>
      <c r="N73">
        <v>25</v>
      </c>
      <c r="O73" t="s">
        <v>34</v>
      </c>
      <c r="P73" t="s">
        <v>84</v>
      </c>
      <c r="Q73" s="1">
        <v>44941</v>
      </c>
      <c r="R73" s="1">
        <v>44927</v>
      </c>
      <c r="S73" t="s">
        <v>95</v>
      </c>
      <c r="T73" s="1">
        <v>44927</v>
      </c>
      <c r="U73">
        <v>2023</v>
      </c>
    </row>
    <row r="74" spans="1:21" x14ac:dyDescent="0.3">
      <c r="A74" t="s">
        <v>173</v>
      </c>
      <c r="B74" t="s">
        <v>46</v>
      </c>
      <c r="C74" t="s">
        <v>47</v>
      </c>
      <c r="D74" t="s">
        <v>174</v>
      </c>
      <c r="E74" s="1">
        <v>45088</v>
      </c>
      <c r="F74" t="s">
        <v>57</v>
      </c>
      <c r="G74" t="s">
        <v>98</v>
      </c>
      <c r="H74">
        <v>1</v>
      </c>
      <c r="I74">
        <v>42523</v>
      </c>
      <c r="J74">
        <v>42523</v>
      </c>
      <c r="K74">
        <v>20762</v>
      </c>
      <c r="L74">
        <v>5705</v>
      </c>
      <c r="M74">
        <v>16056</v>
      </c>
      <c r="N74">
        <v>37</v>
      </c>
      <c r="O74" t="s">
        <v>50</v>
      </c>
      <c r="P74" t="s">
        <v>28</v>
      </c>
      <c r="Q74" s="1">
        <v>45088</v>
      </c>
      <c r="R74" s="1">
        <v>45017</v>
      </c>
      <c r="S74" t="s">
        <v>35</v>
      </c>
      <c r="T74" s="1">
        <v>45078</v>
      </c>
      <c r="U74">
        <v>2023</v>
      </c>
    </row>
    <row r="75" spans="1:21" x14ac:dyDescent="0.3">
      <c r="A75" t="s">
        <v>175</v>
      </c>
      <c r="B75" t="s">
        <v>22</v>
      </c>
      <c r="C75" t="s">
        <v>23</v>
      </c>
      <c r="D75" t="s">
        <v>176</v>
      </c>
      <c r="E75" s="1">
        <v>45193</v>
      </c>
      <c r="F75" t="s">
        <v>40</v>
      </c>
      <c r="G75" t="s">
        <v>33</v>
      </c>
      <c r="H75">
        <v>8</v>
      </c>
      <c r="I75">
        <v>38013</v>
      </c>
      <c r="J75">
        <v>304104</v>
      </c>
      <c r="K75">
        <v>115356</v>
      </c>
      <c r="L75">
        <v>31958</v>
      </c>
      <c r="M75">
        <v>156790</v>
      </c>
      <c r="N75">
        <v>7</v>
      </c>
      <c r="O75" t="s">
        <v>61</v>
      </c>
      <c r="P75" t="s">
        <v>28</v>
      </c>
      <c r="Q75" s="1">
        <v>45193</v>
      </c>
      <c r="R75" s="1">
        <v>45108</v>
      </c>
      <c r="S75" t="s">
        <v>104</v>
      </c>
      <c r="T75" s="1">
        <v>45170</v>
      </c>
      <c r="U75">
        <v>2023</v>
      </c>
    </row>
    <row r="76" spans="1:21" x14ac:dyDescent="0.3">
      <c r="A76" t="s">
        <v>177</v>
      </c>
      <c r="B76" t="s">
        <v>72</v>
      </c>
      <c r="C76" t="s">
        <v>47</v>
      </c>
      <c r="D76" t="s">
        <v>142</v>
      </c>
      <c r="E76" s="1">
        <v>45162</v>
      </c>
      <c r="F76" t="s">
        <v>57</v>
      </c>
      <c r="G76" t="s">
        <v>81</v>
      </c>
      <c r="H76">
        <v>2</v>
      </c>
      <c r="I76">
        <v>15725</v>
      </c>
      <c r="J76">
        <v>31450</v>
      </c>
      <c r="K76">
        <v>11295</v>
      </c>
      <c r="L76">
        <v>3608</v>
      </c>
      <c r="M76">
        <v>16547</v>
      </c>
      <c r="N76">
        <v>21</v>
      </c>
      <c r="O76" t="s">
        <v>34</v>
      </c>
      <c r="P76" t="s">
        <v>84</v>
      </c>
      <c r="Q76" s="1">
        <v>45158</v>
      </c>
      <c r="R76" s="1">
        <v>45108</v>
      </c>
      <c r="S76" t="s">
        <v>92</v>
      </c>
      <c r="T76" s="1">
        <v>45139</v>
      </c>
      <c r="U76">
        <v>2023</v>
      </c>
    </row>
    <row r="77" spans="1:21" x14ac:dyDescent="0.3">
      <c r="A77" t="s">
        <v>178</v>
      </c>
      <c r="B77" t="s">
        <v>46</v>
      </c>
      <c r="C77" t="s">
        <v>47</v>
      </c>
      <c r="D77" t="s">
        <v>176</v>
      </c>
      <c r="E77" s="1">
        <v>45197</v>
      </c>
      <c r="F77" t="s">
        <v>57</v>
      </c>
      <c r="G77" t="s">
        <v>41</v>
      </c>
      <c r="H77">
        <v>9</v>
      </c>
      <c r="I77">
        <v>10664</v>
      </c>
      <c r="J77">
        <v>95976</v>
      </c>
      <c r="K77">
        <v>47332</v>
      </c>
      <c r="L77">
        <v>14712</v>
      </c>
      <c r="M77">
        <v>33932</v>
      </c>
      <c r="N77">
        <v>29</v>
      </c>
      <c r="O77" t="s">
        <v>61</v>
      </c>
      <c r="P77" t="s">
        <v>84</v>
      </c>
      <c r="Q77" s="1">
        <v>45193</v>
      </c>
      <c r="R77" s="1">
        <v>45108</v>
      </c>
      <c r="S77" t="s">
        <v>104</v>
      </c>
      <c r="T77" s="1">
        <v>45170</v>
      </c>
      <c r="U77">
        <v>2023</v>
      </c>
    </row>
    <row r="78" spans="1:21" x14ac:dyDescent="0.3">
      <c r="A78" t="s">
        <v>179</v>
      </c>
      <c r="B78" t="s">
        <v>22</v>
      </c>
      <c r="C78" t="s">
        <v>23</v>
      </c>
      <c r="D78" t="s">
        <v>97</v>
      </c>
      <c r="E78" s="1">
        <v>45098</v>
      </c>
      <c r="F78" t="s">
        <v>40</v>
      </c>
      <c r="G78" t="s">
        <v>26</v>
      </c>
      <c r="H78">
        <v>4</v>
      </c>
      <c r="I78">
        <v>7152</v>
      </c>
      <c r="J78">
        <v>28608</v>
      </c>
      <c r="K78">
        <v>15807</v>
      </c>
      <c r="L78">
        <v>3700</v>
      </c>
      <c r="M78">
        <v>9101</v>
      </c>
      <c r="N78">
        <v>32</v>
      </c>
      <c r="O78" t="s">
        <v>50</v>
      </c>
      <c r="P78" t="s">
        <v>43</v>
      </c>
      <c r="Q78" s="1">
        <v>45095</v>
      </c>
      <c r="R78" s="1">
        <v>45017</v>
      </c>
      <c r="S78" t="s">
        <v>35</v>
      </c>
      <c r="T78" s="1">
        <v>45078</v>
      </c>
      <c r="U78">
        <v>2023</v>
      </c>
    </row>
    <row r="79" spans="1:21" x14ac:dyDescent="0.3">
      <c r="A79" t="s">
        <v>180</v>
      </c>
      <c r="B79" t="s">
        <v>72</v>
      </c>
      <c r="C79" t="s">
        <v>47</v>
      </c>
      <c r="D79" t="s">
        <v>80</v>
      </c>
      <c r="E79" s="1">
        <v>45000</v>
      </c>
      <c r="F79" t="s">
        <v>57</v>
      </c>
      <c r="G79" t="s">
        <v>81</v>
      </c>
      <c r="H79">
        <v>3</v>
      </c>
      <c r="I79">
        <v>12276</v>
      </c>
      <c r="J79">
        <v>36828</v>
      </c>
      <c r="K79">
        <v>21168</v>
      </c>
      <c r="L79">
        <v>3797</v>
      </c>
      <c r="M79">
        <v>11863</v>
      </c>
      <c r="N79">
        <v>8</v>
      </c>
      <c r="O79" t="s">
        <v>27</v>
      </c>
      <c r="P79" t="s">
        <v>43</v>
      </c>
      <c r="Q79" s="1">
        <v>44997</v>
      </c>
      <c r="R79" s="1">
        <v>44927</v>
      </c>
      <c r="S79" t="s">
        <v>44</v>
      </c>
      <c r="T79" s="1">
        <v>44986</v>
      </c>
      <c r="U79">
        <v>2023</v>
      </c>
    </row>
    <row r="80" spans="1:21" x14ac:dyDescent="0.3">
      <c r="A80" t="s">
        <v>181</v>
      </c>
      <c r="B80" t="s">
        <v>46</v>
      </c>
      <c r="C80" t="s">
        <v>47</v>
      </c>
      <c r="D80" t="s">
        <v>119</v>
      </c>
      <c r="E80" s="1">
        <v>45070</v>
      </c>
      <c r="F80" t="s">
        <v>25</v>
      </c>
      <c r="G80" t="s">
        <v>98</v>
      </c>
      <c r="H80">
        <v>9</v>
      </c>
      <c r="I80">
        <v>38772</v>
      </c>
      <c r="J80">
        <v>348948</v>
      </c>
      <c r="K80">
        <v>124264</v>
      </c>
      <c r="L80">
        <v>69478</v>
      </c>
      <c r="M80">
        <v>155206</v>
      </c>
      <c r="N80">
        <v>25</v>
      </c>
      <c r="O80" t="s">
        <v>27</v>
      </c>
      <c r="P80" t="s">
        <v>43</v>
      </c>
      <c r="Q80" s="1">
        <v>45067</v>
      </c>
      <c r="R80" s="1">
        <v>45017</v>
      </c>
      <c r="S80" t="s">
        <v>68</v>
      </c>
      <c r="T80" s="1">
        <v>45047</v>
      </c>
      <c r="U80">
        <v>2023</v>
      </c>
    </row>
    <row r="81" spans="1:21" x14ac:dyDescent="0.3">
      <c r="A81" t="s">
        <v>182</v>
      </c>
      <c r="B81" t="s">
        <v>72</v>
      </c>
      <c r="C81" t="s">
        <v>47</v>
      </c>
      <c r="D81" t="s">
        <v>148</v>
      </c>
      <c r="E81" s="1">
        <v>45237</v>
      </c>
      <c r="F81" t="s">
        <v>25</v>
      </c>
      <c r="G81" t="s">
        <v>81</v>
      </c>
      <c r="H81">
        <v>7</v>
      </c>
      <c r="I81">
        <v>50305</v>
      </c>
      <c r="J81">
        <v>352135</v>
      </c>
      <c r="K81">
        <v>161849</v>
      </c>
      <c r="L81">
        <v>69943</v>
      </c>
      <c r="M81">
        <v>120343</v>
      </c>
      <c r="N81">
        <v>1</v>
      </c>
      <c r="O81" t="s">
        <v>42</v>
      </c>
      <c r="P81" t="s">
        <v>62</v>
      </c>
      <c r="Q81" s="1">
        <v>45235</v>
      </c>
      <c r="R81" s="1">
        <v>45200</v>
      </c>
      <c r="S81" t="s">
        <v>138</v>
      </c>
      <c r="T81" s="1">
        <v>45231</v>
      </c>
      <c r="U81">
        <v>2023</v>
      </c>
    </row>
    <row r="82" spans="1:21" x14ac:dyDescent="0.3">
      <c r="A82" t="s">
        <v>183</v>
      </c>
      <c r="B82" t="s">
        <v>31</v>
      </c>
      <c r="C82" t="s">
        <v>23</v>
      </c>
      <c r="D82" t="s">
        <v>148</v>
      </c>
      <c r="E82" s="1">
        <v>45223</v>
      </c>
      <c r="F82" t="s">
        <v>25</v>
      </c>
      <c r="G82" t="s">
        <v>98</v>
      </c>
      <c r="H82">
        <v>2</v>
      </c>
      <c r="I82">
        <v>16632</v>
      </c>
      <c r="J82">
        <v>33264</v>
      </c>
      <c r="K82">
        <v>15761</v>
      </c>
      <c r="L82">
        <v>5649</v>
      </c>
      <c r="M82">
        <v>11854</v>
      </c>
      <c r="N82">
        <v>0</v>
      </c>
      <c r="O82" t="s">
        <v>27</v>
      </c>
      <c r="P82" t="s">
        <v>62</v>
      </c>
      <c r="Q82" s="1">
        <v>45221</v>
      </c>
      <c r="R82" s="1">
        <v>45200</v>
      </c>
      <c r="S82" t="s">
        <v>52</v>
      </c>
      <c r="T82" s="1">
        <v>45200</v>
      </c>
      <c r="U82">
        <v>2023</v>
      </c>
    </row>
    <row r="83" spans="1:21" x14ac:dyDescent="0.3">
      <c r="A83" t="s">
        <v>184</v>
      </c>
      <c r="B83" t="s">
        <v>46</v>
      </c>
      <c r="C83" t="s">
        <v>47</v>
      </c>
      <c r="D83" t="s">
        <v>56</v>
      </c>
      <c r="E83" s="1">
        <v>44945</v>
      </c>
      <c r="F83" t="s">
        <v>57</v>
      </c>
      <c r="G83" t="s">
        <v>81</v>
      </c>
      <c r="H83">
        <v>9</v>
      </c>
      <c r="I83">
        <v>40978</v>
      </c>
      <c r="J83">
        <v>368802</v>
      </c>
      <c r="K83">
        <v>157322</v>
      </c>
      <c r="L83">
        <v>41678</v>
      </c>
      <c r="M83">
        <v>169802</v>
      </c>
      <c r="N83">
        <v>29</v>
      </c>
      <c r="O83" t="s">
        <v>50</v>
      </c>
      <c r="P83" t="s">
        <v>84</v>
      </c>
      <c r="Q83" s="1">
        <v>44941</v>
      </c>
      <c r="R83" s="1">
        <v>44927</v>
      </c>
      <c r="S83" t="s">
        <v>95</v>
      </c>
      <c r="T83" s="1">
        <v>44927</v>
      </c>
      <c r="U83">
        <v>2023</v>
      </c>
    </row>
    <row r="84" spans="1:21" x14ac:dyDescent="0.3">
      <c r="A84" t="s">
        <v>185</v>
      </c>
      <c r="B84" t="s">
        <v>22</v>
      </c>
      <c r="C84" t="s">
        <v>23</v>
      </c>
      <c r="D84" t="s">
        <v>176</v>
      </c>
      <c r="E84" s="1">
        <v>45077</v>
      </c>
      <c r="F84" t="s">
        <v>40</v>
      </c>
      <c r="G84" t="s">
        <v>41</v>
      </c>
      <c r="H84">
        <v>10</v>
      </c>
      <c r="I84">
        <v>69847</v>
      </c>
      <c r="J84">
        <v>698470</v>
      </c>
      <c r="K84">
        <v>228747</v>
      </c>
      <c r="L84">
        <v>134614</v>
      </c>
      <c r="M84">
        <v>335109</v>
      </c>
      <c r="N84">
        <v>2</v>
      </c>
      <c r="O84" t="s">
        <v>34</v>
      </c>
      <c r="P84" t="s">
        <v>43</v>
      </c>
      <c r="Q84" s="1">
        <v>45074</v>
      </c>
      <c r="R84" s="1">
        <v>45017</v>
      </c>
      <c r="S84" t="s">
        <v>68</v>
      </c>
      <c r="T84" s="1">
        <v>45047</v>
      </c>
      <c r="U84">
        <v>2023</v>
      </c>
    </row>
    <row r="85" spans="1:21" x14ac:dyDescent="0.3">
      <c r="A85" t="s">
        <v>186</v>
      </c>
      <c r="B85" t="s">
        <v>46</v>
      </c>
      <c r="C85" t="s">
        <v>47</v>
      </c>
      <c r="D85" t="s">
        <v>48</v>
      </c>
      <c r="E85" s="1">
        <v>45086</v>
      </c>
      <c r="F85" t="s">
        <v>40</v>
      </c>
      <c r="G85" t="s">
        <v>81</v>
      </c>
      <c r="H85">
        <v>6</v>
      </c>
      <c r="I85">
        <v>61716</v>
      </c>
      <c r="J85">
        <v>370296</v>
      </c>
      <c r="K85">
        <v>205665</v>
      </c>
      <c r="L85">
        <v>55145</v>
      </c>
      <c r="M85">
        <v>109486</v>
      </c>
      <c r="N85">
        <v>44</v>
      </c>
      <c r="O85" t="s">
        <v>50</v>
      </c>
      <c r="P85" t="s">
        <v>99</v>
      </c>
      <c r="Q85" s="1">
        <v>45081</v>
      </c>
      <c r="R85" s="1">
        <v>45017</v>
      </c>
      <c r="S85" t="s">
        <v>35</v>
      </c>
      <c r="T85" s="1">
        <v>45078</v>
      </c>
      <c r="U85">
        <v>2023</v>
      </c>
    </row>
    <row r="86" spans="1:21" x14ac:dyDescent="0.3">
      <c r="A86" t="s">
        <v>187</v>
      </c>
      <c r="B86" t="s">
        <v>72</v>
      </c>
      <c r="C86" t="s">
        <v>47</v>
      </c>
      <c r="D86" t="s">
        <v>188</v>
      </c>
      <c r="E86" s="1">
        <v>45203</v>
      </c>
      <c r="F86" t="s">
        <v>57</v>
      </c>
      <c r="G86" t="s">
        <v>33</v>
      </c>
      <c r="H86">
        <v>7</v>
      </c>
      <c r="I86">
        <v>63460</v>
      </c>
      <c r="J86">
        <v>444220</v>
      </c>
      <c r="K86">
        <v>224977</v>
      </c>
      <c r="L86">
        <v>85284</v>
      </c>
      <c r="M86">
        <v>133959</v>
      </c>
      <c r="N86">
        <v>21</v>
      </c>
      <c r="O86" t="s">
        <v>27</v>
      </c>
      <c r="P86" t="s">
        <v>43</v>
      </c>
      <c r="Q86" s="1">
        <v>45200</v>
      </c>
      <c r="R86" s="1">
        <v>45200</v>
      </c>
      <c r="S86" t="s">
        <v>52</v>
      </c>
      <c r="T86" s="1">
        <v>45200</v>
      </c>
      <c r="U86">
        <v>2023</v>
      </c>
    </row>
    <row r="87" spans="1:21" x14ac:dyDescent="0.3">
      <c r="A87" t="s">
        <v>189</v>
      </c>
      <c r="B87" t="s">
        <v>72</v>
      </c>
      <c r="C87" t="s">
        <v>47</v>
      </c>
      <c r="D87" t="s">
        <v>190</v>
      </c>
      <c r="E87" s="1">
        <v>45205</v>
      </c>
      <c r="F87" t="s">
        <v>57</v>
      </c>
      <c r="G87" t="s">
        <v>64</v>
      </c>
      <c r="H87">
        <v>10</v>
      </c>
      <c r="I87">
        <v>37536</v>
      </c>
      <c r="J87">
        <v>375360</v>
      </c>
      <c r="K87">
        <v>118394</v>
      </c>
      <c r="L87">
        <v>62290</v>
      </c>
      <c r="M87">
        <v>194676</v>
      </c>
      <c r="N87">
        <v>33</v>
      </c>
      <c r="O87" t="s">
        <v>61</v>
      </c>
      <c r="P87" t="s">
        <v>99</v>
      </c>
      <c r="Q87" s="1">
        <v>45200</v>
      </c>
      <c r="R87" s="1">
        <v>45200</v>
      </c>
      <c r="S87" t="s">
        <v>52</v>
      </c>
      <c r="T87" s="1">
        <v>45200</v>
      </c>
      <c r="U87">
        <v>2023</v>
      </c>
    </row>
    <row r="88" spans="1:21" x14ac:dyDescent="0.3">
      <c r="A88" t="s">
        <v>191</v>
      </c>
      <c r="B88" t="s">
        <v>22</v>
      </c>
      <c r="C88" t="s">
        <v>23</v>
      </c>
      <c r="D88" t="s">
        <v>121</v>
      </c>
      <c r="E88" s="1">
        <v>44986</v>
      </c>
      <c r="F88" t="s">
        <v>25</v>
      </c>
      <c r="G88" t="s">
        <v>81</v>
      </c>
      <c r="H88">
        <v>5</v>
      </c>
      <c r="I88">
        <v>37624</v>
      </c>
      <c r="J88">
        <v>188120</v>
      </c>
      <c r="K88">
        <v>90953</v>
      </c>
      <c r="L88">
        <v>20099</v>
      </c>
      <c r="M88">
        <v>77068</v>
      </c>
      <c r="N88">
        <v>24</v>
      </c>
      <c r="O88" t="s">
        <v>50</v>
      </c>
      <c r="P88" t="s">
        <v>43</v>
      </c>
      <c r="Q88" s="1">
        <v>44983</v>
      </c>
      <c r="R88" s="1">
        <v>44927</v>
      </c>
      <c r="S88" t="s">
        <v>44</v>
      </c>
      <c r="T88" s="1">
        <v>44986</v>
      </c>
      <c r="U88">
        <v>2023</v>
      </c>
    </row>
    <row r="89" spans="1:21" x14ac:dyDescent="0.3">
      <c r="A89" t="s">
        <v>192</v>
      </c>
      <c r="B89" t="s">
        <v>46</v>
      </c>
      <c r="C89" t="s">
        <v>47</v>
      </c>
      <c r="D89" t="s">
        <v>123</v>
      </c>
      <c r="E89" s="1">
        <v>45029</v>
      </c>
      <c r="F89" t="s">
        <v>49</v>
      </c>
      <c r="G89" t="s">
        <v>41</v>
      </c>
      <c r="H89">
        <v>9</v>
      </c>
      <c r="I89">
        <v>6532</v>
      </c>
      <c r="J89">
        <v>58788</v>
      </c>
      <c r="K89">
        <v>17761</v>
      </c>
      <c r="L89">
        <v>8030</v>
      </c>
      <c r="M89">
        <v>32997</v>
      </c>
      <c r="N89">
        <v>49</v>
      </c>
      <c r="O89" t="s">
        <v>27</v>
      </c>
      <c r="P89" t="s">
        <v>84</v>
      </c>
      <c r="Q89" s="1">
        <v>45025</v>
      </c>
      <c r="R89" s="1">
        <v>45017</v>
      </c>
      <c r="S89" t="s">
        <v>74</v>
      </c>
      <c r="T89" s="1">
        <v>45017</v>
      </c>
      <c r="U89">
        <v>2023</v>
      </c>
    </row>
    <row r="90" spans="1:21" x14ac:dyDescent="0.3">
      <c r="A90" t="s">
        <v>193</v>
      </c>
      <c r="B90" t="s">
        <v>22</v>
      </c>
      <c r="C90" t="s">
        <v>23</v>
      </c>
      <c r="D90" t="s">
        <v>83</v>
      </c>
      <c r="E90" s="1">
        <v>45099</v>
      </c>
      <c r="F90" t="s">
        <v>40</v>
      </c>
      <c r="G90" t="s">
        <v>26</v>
      </c>
      <c r="H90">
        <v>6</v>
      </c>
      <c r="I90">
        <v>27227</v>
      </c>
      <c r="J90">
        <v>163362</v>
      </c>
      <c r="K90">
        <v>93870</v>
      </c>
      <c r="L90">
        <v>27481</v>
      </c>
      <c r="M90">
        <v>42011</v>
      </c>
      <c r="N90">
        <v>40</v>
      </c>
      <c r="O90" t="s">
        <v>61</v>
      </c>
      <c r="P90" t="s">
        <v>84</v>
      </c>
      <c r="Q90" s="1">
        <v>45095</v>
      </c>
      <c r="R90" s="1">
        <v>45017</v>
      </c>
      <c r="S90" t="s">
        <v>35</v>
      </c>
      <c r="T90" s="1">
        <v>45078</v>
      </c>
      <c r="U90">
        <v>2023</v>
      </c>
    </row>
    <row r="91" spans="1:21" x14ac:dyDescent="0.3">
      <c r="A91" t="s">
        <v>194</v>
      </c>
      <c r="B91" t="s">
        <v>72</v>
      </c>
      <c r="C91" t="s">
        <v>47</v>
      </c>
      <c r="D91" t="s">
        <v>83</v>
      </c>
      <c r="E91" s="1">
        <v>45181</v>
      </c>
      <c r="F91" t="s">
        <v>49</v>
      </c>
      <c r="G91" t="s">
        <v>33</v>
      </c>
      <c r="H91">
        <v>9</v>
      </c>
      <c r="I91">
        <v>4631</v>
      </c>
      <c r="J91">
        <v>41679</v>
      </c>
      <c r="K91">
        <v>22583</v>
      </c>
      <c r="L91">
        <v>4963</v>
      </c>
      <c r="M91">
        <v>14133</v>
      </c>
      <c r="N91">
        <v>0</v>
      </c>
      <c r="O91" t="s">
        <v>50</v>
      </c>
      <c r="P91" t="s">
        <v>62</v>
      </c>
      <c r="Q91" s="1">
        <v>45179</v>
      </c>
      <c r="R91" s="1">
        <v>45108</v>
      </c>
      <c r="S91" t="s">
        <v>104</v>
      </c>
      <c r="T91" s="1">
        <v>45170</v>
      </c>
      <c r="U91">
        <v>2023</v>
      </c>
    </row>
    <row r="92" spans="1:21" x14ac:dyDescent="0.3">
      <c r="A92" t="s">
        <v>195</v>
      </c>
      <c r="B92" t="s">
        <v>37</v>
      </c>
      <c r="C92" t="s">
        <v>38</v>
      </c>
      <c r="D92" t="s">
        <v>196</v>
      </c>
      <c r="E92" s="1">
        <v>45218</v>
      </c>
      <c r="F92" t="s">
        <v>49</v>
      </c>
      <c r="G92" t="s">
        <v>41</v>
      </c>
      <c r="H92">
        <v>1</v>
      </c>
      <c r="I92">
        <v>5822</v>
      </c>
      <c r="J92">
        <v>5822</v>
      </c>
      <c r="K92">
        <v>2644</v>
      </c>
      <c r="L92">
        <v>1103</v>
      </c>
      <c r="M92">
        <v>2075</v>
      </c>
      <c r="N92">
        <v>12</v>
      </c>
      <c r="O92" t="s">
        <v>34</v>
      </c>
      <c r="P92" t="s">
        <v>84</v>
      </c>
      <c r="Q92" s="1">
        <v>45214</v>
      </c>
      <c r="R92" s="1">
        <v>45200</v>
      </c>
      <c r="S92" t="s">
        <v>52</v>
      </c>
      <c r="T92" s="1">
        <v>45200</v>
      </c>
      <c r="U92">
        <v>2023</v>
      </c>
    </row>
    <row r="93" spans="1:21" x14ac:dyDescent="0.3">
      <c r="A93" t="s">
        <v>197</v>
      </c>
      <c r="B93" t="s">
        <v>46</v>
      </c>
      <c r="C93" t="s">
        <v>47</v>
      </c>
      <c r="D93" t="s">
        <v>89</v>
      </c>
      <c r="E93" s="1">
        <v>45237</v>
      </c>
      <c r="F93" t="s">
        <v>40</v>
      </c>
      <c r="G93" t="s">
        <v>64</v>
      </c>
      <c r="H93">
        <v>1</v>
      </c>
      <c r="I93">
        <v>3153</v>
      </c>
      <c r="J93">
        <v>3153</v>
      </c>
      <c r="K93">
        <v>1351</v>
      </c>
      <c r="L93">
        <v>401</v>
      </c>
      <c r="M93">
        <v>1401</v>
      </c>
      <c r="N93">
        <v>3</v>
      </c>
      <c r="O93" t="s">
        <v>34</v>
      </c>
      <c r="P93" t="s">
        <v>62</v>
      </c>
      <c r="Q93" s="1">
        <v>45235</v>
      </c>
      <c r="R93" s="1">
        <v>45200</v>
      </c>
      <c r="S93" t="s">
        <v>138</v>
      </c>
      <c r="T93" s="1">
        <v>45231</v>
      </c>
      <c r="U93">
        <v>2023</v>
      </c>
    </row>
    <row r="94" spans="1:21" x14ac:dyDescent="0.3">
      <c r="A94" t="s">
        <v>198</v>
      </c>
      <c r="B94" t="s">
        <v>46</v>
      </c>
      <c r="C94" t="s">
        <v>47</v>
      </c>
      <c r="D94" t="s">
        <v>145</v>
      </c>
      <c r="E94" s="1">
        <v>44938</v>
      </c>
      <c r="F94" t="s">
        <v>25</v>
      </c>
      <c r="G94" t="s">
        <v>58</v>
      </c>
      <c r="H94">
        <v>7</v>
      </c>
      <c r="I94">
        <v>6381</v>
      </c>
      <c r="J94">
        <v>44667</v>
      </c>
      <c r="K94">
        <v>19527</v>
      </c>
      <c r="L94">
        <v>8794</v>
      </c>
      <c r="M94">
        <v>16346</v>
      </c>
      <c r="N94">
        <v>28</v>
      </c>
      <c r="O94" t="s">
        <v>34</v>
      </c>
      <c r="P94" t="s">
        <v>84</v>
      </c>
      <c r="Q94" s="1">
        <v>44934</v>
      </c>
      <c r="R94" s="1">
        <v>44927</v>
      </c>
      <c r="S94" t="s">
        <v>95</v>
      </c>
      <c r="T94" s="1">
        <v>44927</v>
      </c>
      <c r="U94">
        <v>2023</v>
      </c>
    </row>
    <row r="95" spans="1:21" x14ac:dyDescent="0.3">
      <c r="A95" t="s">
        <v>199</v>
      </c>
      <c r="B95" t="s">
        <v>46</v>
      </c>
      <c r="C95" t="s">
        <v>47</v>
      </c>
      <c r="D95" t="s">
        <v>108</v>
      </c>
      <c r="E95" s="1">
        <v>45061</v>
      </c>
      <c r="F95" t="s">
        <v>49</v>
      </c>
      <c r="G95" t="s">
        <v>26</v>
      </c>
      <c r="H95">
        <v>6</v>
      </c>
      <c r="I95">
        <v>49724</v>
      </c>
      <c r="J95">
        <v>298344</v>
      </c>
      <c r="K95">
        <v>161927</v>
      </c>
      <c r="L95">
        <v>38107</v>
      </c>
      <c r="M95">
        <v>98310</v>
      </c>
      <c r="N95">
        <v>15</v>
      </c>
      <c r="O95" t="s">
        <v>61</v>
      </c>
      <c r="P95" t="s">
        <v>51</v>
      </c>
      <c r="Q95" s="1">
        <v>45060</v>
      </c>
      <c r="R95" s="1">
        <v>45017</v>
      </c>
      <c r="S95" t="s">
        <v>68</v>
      </c>
      <c r="T95" s="1">
        <v>45047</v>
      </c>
      <c r="U95">
        <v>2023</v>
      </c>
    </row>
    <row r="96" spans="1:21" x14ac:dyDescent="0.3">
      <c r="A96" t="s">
        <v>200</v>
      </c>
      <c r="B96" t="s">
        <v>72</v>
      </c>
      <c r="C96" t="s">
        <v>47</v>
      </c>
      <c r="D96" t="s">
        <v>60</v>
      </c>
      <c r="E96" s="1">
        <v>45042</v>
      </c>
      <c r="F96" t="s">
        <v>57</v>
      </c>
      <c r="G96" t="s">
        <v>64</v>
      </c>
      <c r="H96">
        <v>5</v>
      </c>
      <c r="I96">
        <v>7135</v>
      </c>
      <c r="J96">
        <v>35675</v>
      </c>
      <c r="K96">
        <v>15949</v>
      </c>
      <c r="L96">
        <v>4274</v>
      </c>
      <c r="M96">
        <v>15452</v>
      </c>
      <c r="N96">
        <v>20</v>
      </c>
      <c r="O96" t="s">
        <v>34</v>
      </c>
      <c r="P96" t="s">
        <v>43</v>
      </c>
      <c r="Q96" s="1">
        <v>45039</v>
      </c>
      <c r="R96" s="1">
        <v>45017</v>
      </c>
      <c r="S96" t="s">
        <v>74</v>
      </c>
      <c r="T96" s="1">
        <v>45017</v>
      </c>
      <c r="U96">
        <v>2023</v>
      </c>
    </row>
    <row r="97" spans="1:21" x14ac:dyDescent="0.3">
      <c r="A97" t="s">
        <v>201</v>
      </c>
      <c r="B97" t="s">
        <v>46</v>
      </c>
      <c r="C97" t="s">
        <v>47</v>
      </c>
      <c r="D97" t="s">
        <v>108</v>
      </c>
      <c r="E97" s="1">
        <v>45231</v>
      </c>
      <c r="F97" t="s">
        <v>25</v>
      </c>
      <c r="G97" t="s">
        <v>26</v>
      </c>
      <c r="H97">
        <v>4</v>
      </c>
      <c r="I97">
        <v>47458</v>
      </c>
      <c r="J97">
        <v>189832</v>
      </c>
      <c r="K97">
        <v>58792</v>
      </c>
      <c r="L97">
        <v>22847</v>
      </c>
      <c r="M97">
        <v>108193</v>
      </c>
      <c r="N97">
        <v>43</v>
      </c>
      <c r="O97" t="s">
        <v>61</v>
      </c>
      <c r="P97" t="s">
        <v>43</v>
      </c>
      <c r="Q97" s="1">
        <v>45228</v>
      </c>
      <c r="R97" s="1">
        <v>45200</v>
      </c>
      <c r="S97" t="s">
        <v>138</v>
      </c>
      <c r="T97" s="1">
        <v>45231</v>
      </c>
      <c r="U97">
        <v>2023</v>
      </c>
    </row>
    <row r="98" spans="1:21" x14ac:dyDescent="0.3">
      <c r="A98" t="s">
        <v>202</v>
      </c>
      <c r="B98" t="s">
        <v>46</v>
      </c>
      <c r="C98" t="s">
        <v>47</v>
      </c>
      <c r="D98" t="s">
        <v>163</v>
      </c>
      <c r="E98" s="1">
        <v>44962</v>
      </c>
      <c r="F98" t="s">
        <v>57</v>
      </c>
      <c r="G98" t="s">
        <v>81</v>
      </c>
      <c r="H98">
        <v>6</v>
      </c>
      <c r="I98">
        <v>58643</v>
      </c>
      <c r="J98">
        <v>351858</v>
      </c>
      <c r="K98">
        <v>173603</v>
      </c>
      <c r="L98">
        <v>47258</v>
      </c>
      <c r="M98">
        <v>130997</v>
      </c>
      <c r="N98">
        <v>50</v>
      </c>
      <c r="O98" t="s">
        <v>61</v>
      </c>
      <c r="P98" t="s">
        <v>28</v>
      </c>
      <c r="Q98" s="1">
        <v>44962</v>
      </c>
      <c r="R98" s="1">
        <v>44927</v>
      </c>
      <c r="S98" t="s">
        <v>85</v>
      </c>
      <c r="T98" s="1">
        <v>44958</v>
      </c>
      <c r="U98">
        <v>2023</v>
      </c>
    </row>
    <row r="99" spans="1:21" x14ac:dyDescent="0.3">
      <c r="A99" t="s">
        <v>203</v>
      </c>
      <c r="B99" t="s">
        <v>72</v>
      </c>
      <c r="C99" t="s">
        <v>47</v>
      </c>
      <c r="D99" t="s">
        <v>142</v>
      </c>
      <c r="E99" s="1">
        <v>45088</v>
      </c>
      <c r="F99" t="s">
        <v>40</v>
      </c>
      <c r="G99" t="s">
        <v>33</v>
      </c>
      <c r="H99">
        <v>1</v>
      </c>
      <c r="I99">
        <v>11703</v>
      </c>
      <c r="J99">
        <v>11703</v>
      </c>
      <c r="K99">
        <v>5700</v>
      </c>
      <c r="L99">
        <v>1550</v>
      </c>
      <c r="M99">
        <v>4453</v>
      </c>
      <c r="N99">
        <v>16</v>
      </c>
      <c r="O99" t="s">
        <v>27</v>
      </c>
      <c r="P99" t="s">
        <v>28</v>
      </c>
      <c r="Q99" s="1">
        <v>45088</v>
      </c>
      <c r="R99" s="1">
        <v>45017</v>
      </c>
      <c r="S99" t="s">
        <v>35</v>
      </c>
      <c r="T99" s="1">
        <v>45078</v>
      </c>
      <c r="U99">
        <v>2023</v>
      </c>
    </row>
    <row r="100" spans="1:21" x14ac:dyDescent="0.3">
      <c r="A100" t="s">
        <v>204</v>
      </c>
      <c r="B100" t="s">
        <v>72</v>
      </c>
      <c r="C100" t="s">
        <v>47</v>
      </c>
      <c r="D100" t="s">
        <v>205</v>
      </c>
      <c r="E100" s="1">
        <v>45235</v>
      </c>
      <c r="F100" t="s">
        <v>57</v>
      </c>
      <c r="G100" t="s">
        <v>26</v>
      </c>
      <c r="H100">
        <v>8</v>
      </c>
      <c r="I100">
        <v>56189</v>
      </c>
      <c r="J100">
        <v>449512</v>
      </c>
      <c r="K100">
        <v>221552</v>
      </c>
      <c r="L100">
        <v>60984</v>
      </c>
      <c r="M100">
        <v>166976</v>
      </c>
      <c r="N100">
        <v>16</v>
      </c>
      <c r="O100" t="s">
        <v>61</v>
      </c>
      <c r="P100" t="s">
        <v>28</v>
      </c>
      <c r="Q100" s="1">
        <v>45235</v>
      </c>
      <c r="R100" s="1">
        <v>45200</v>
      </c>
      <c r="S100" t="s">
        <v>138</v>
      </c>
      <c r="T100" s="1">
        <v>45231</v>
      </c>
      <c r="U100">
        <v>2023</v>
      </c>
    </row>
    <row r="101" spans="1:21" x14ac:dyDescent="0.3">
      <c r="A101" t="s">
        <v>206</v>
      </c>
      <c r="B101" t="s">
        <v>37</v>
      </c>
      <c r="C101" t="s">
        <v>38</v>
      </c>
      <c r="D101" t="s">
        <v>78</v>
      </c>
      <c r="E101" s="1">
        <v>45012</v>
      </c>
      <c r="F101" t="s">
        <v>25</v>
      </c>
      <c r="G101" t="s">
        <v>26</v>
      </c>
      <c r="H101">
        <v>8</v>
      </c>
      <c r="I101">
        <v>4424</v>
      </c>
      <c r="J101">
        <v>35392</v>
      </c>
      <c r="K101">
        <v>14641</v>
      </c>
      <c r="L101">
        <v>5588</v>
      </c>
      <c r="M101">
        <v>15163</v>
      </c>
      <c r="N101">
        <v>20</v>
      </c>
      <c r="O101" t="s">
        <v>34</v>
      </c>
      <c r="P101" t="s">
        <v>51</v>
      </c>
      <c r="Q101" s="1">
        <v>45011</v>
      </c>
      <c r="R101" s="1">
        <v>44927</v>
      </c>
      <c r="S101" t="s">
        <v>44</v>
      </c>
      <c r="T101" s="1">
        <v>44986</v>
      </c>
      <c r="U101">
        <v>2023</v>
      </c>
    </row>
    <row r="102" spans="1:21" x14ac:dyDescent="0.3">
      <c r="A102" t="s">
        <v>207</v>
      </c>
      <c r="B102" t="s">
        <v>31</v>
      </c>
      <c r="C102" t="s">
        <v>23</v>
      </c>
      <c r="D102" t="s">
        <v>176</v>
      </c>
      <c r="E102" s="1">
        <v>45159</v>
      </c>
      <c r="F102" t="s">
        <v>49</v>
      </c>
      <c r="G102" t="s">
        <v>98</v>
      </c>
      <c r="H102">
        <v>3</v>
      </c>
      <c r="I102">
        <v>42223</v>
      </c>
      <c r="J102">
        <v>126669</v>
      </c>
      <c r="K102">
        <v>49928</v>
      </c>
      <c r="L102">
        <v>17703</v>
      </c>
      <c r="M102">
        <v>59038</v>
      </c>
      <c r="N102">
        <v>9</v>
      </c>
      <c r="O102" t="s">
        <v>27</v>
      </c>
      <c r="P102" t="s">
        <v>51</v>
      </c>
      <c r="Q102" s="1">
        <v>45158</v>
      </c>
      <c r="R102" s="1">
        <v>45108</v>
      </c>
      <c r="S102" t="s">
        <v>92</v>
      </c>
      <c r="T102" s="1">
        <v>45139</v>
      </c>
      <c r="U102">
        <v>2023</v>
      </c>
    </row>
    <row r="103" spans="1:21" x14ac:dyDescent="0.3">
      <c r="A103" t="s">
        <v>208</v>
      </c>
      <c r="B103" t="s">
        <v>37</v>
      </c>
      <c r="C103" t="s">
        <v>38</v>
      </c>
      <c r="D103" t="s">
        <v>209</v>
      </c>
      <c r="E103" s="1">
        <v>45032</v>
      </c>
      <c r="F103" t="s">
        <v>40</v>
      </c>
      <c r="G103" t="s">
        <v>41</v>
      </c>
      <c r="H103">
        <v>4</v>
      </c>
      <c r="I103">
        <v>39322</v>
      </c>
      <c r="J103">
        <v>157288</v>
      </c>
      <c r="K103">
        <v>74519</v>
      </c>
      <c r="L103">
        <v>24774</v>
      </c>
      <c r="M103">
        <v>57995</v>
      </c>
      <c r="N103">
        <v>23</v>
      </c>
      <c r="O103" t="s">
        <v>27</v>
      </c>
      <c r="P103" t="s">
        <v>28</v>
      </c>
      <c r="Q103" s="1">
        <v>45032</v>
      </c>
      <c r="R103" s="1">
        <v>45017</v>
      </c>
      <c r="S103" t="s">
        <v>74</v>
      </c>
      <c r="T103" s="1">
        <v>45017</v>
      </c>
      <c r="U103">
        <v>2023</v>
      </c>
    </row>
    <row r="104" spans="1:21" x14ac:dyDescent="0.3">
      <c r="A104" t="s">
        <v>210</v>
      </c>
      <c r="B104" t="s">
        <v>31</v>
      </c>
      <c r="C104" t="s">
        <v>23</v>
      </c>
      <c r="D104" t="s">
        <v>148</v>
      </c>
      <c r="E104" s="1">
        <v>45156</v>
      </c>
      <c r="F104" t="s">
        <v>25</v>
      </c>
      <c r="G104" t="s">
        <v>41</v>
      </c>
      <c r="H104">
        <v>2</v>
      </c>
      <c r="I104">
        <v>40843</v>
      </c>
      <c r="J104">
        <v>81686</v>
      </c>
      <c r="K104">
        <v>26267</v>
      </c>
      <c r="L104">
        <v>15631</v>
      </c>
      <c r="M104">
        <v>39788</v>
      </c>
      <c r="N104">
        <v>37</v>
      </c>
      <c r="O104" t="s">
        <v>61</v>
      </c>
      <c r="P104" t="s">
        <v>99</v>
      </c>
      <c r="Q104" s="1">
        <v>45151</v>
      </c>
      <c r="R104" s="1">
        <v>45108</v>
      </c>
      <c r="S104" t="s">
        <v>92</v>
      </c>
      <c r="T104" s="1">
        <v>45139</v>
      </c>
      <c r="U104">
        <v>2023</v>
      </c>
    </row>
    <row r="105" spans="1:21" x14ac:dyDescent="0.3">
      <c r="A105" t="s">
        <v>211</v>
      </c>
      <c r="B105" t="s">
        <v>72</v>
      </c>
      <c r="C105" t="s">
        <v>47</v>
      </c>
      <c r="D105" t="s">
        <v>142</v>
      </c>
      <c r="E105" s="1">
        <v>45182</v>
      </c>
      <c r="F105" t="s">
        <v>25</v>
      </c>
      <c r="G105" t="s">
        <v>81</v>
      </c>
      <c r="H105">
        <v>8</v>
      </c>
      <c r="I105">
        <v>29815</v>
      </c>
      <c r="J105">
        <v>238520</v>
      </c>
      <c r="K105">
        <v>130038</v>
      </c>
      <c r="L105">
        <v>33762</v>
      </c>
      <c r="M105">
        <v>74720</v>
      </c>
      <c r="N105">
        <v>37</v>
      </c>
      <c r="O105" t="s">
        <v>34</v>
      </c>
      <c r="P105" t="s">
        <v>43</v>
      </c>
      <c r="Q105" s="1">
        <v>45179</v>
      </c>
      <c r="R105" s="1">
        <v>45108</v>
      </c>
      <c r="S105" t="s">
        <v>104</v>
      </c>
      <c r="T105" s="1">
        <v>45170</v>
      </c>
      <c r="U105">
        <v>2023</v>
      </c>
    </row>
    <row r="106" spans="1:21" x14ac:dyDescent="0.3">
      <c r="A106" t="s">
        <v>212</v>
      </c>
      <c r="B106" t="s">
        <v>72</v>
      </c>
      <c r="C106" t="s">
        <v>47</v>
      </c>
      <c r="D106" t="s">
        <v>121</v>
      </c>
      <c r="E106" s="1">
        <v>45210</v>
      </c>
      <c r="F106" t="s">
        <v>49</v>
      </c>
      <c r="G106" t="s">
        <v>26</v>
      </c>
      <c r="H106">
        <v>4</v>
      </c>
      <c r="I106">
        <v>61190</v>
      </c>
      <c r="J106">
        <v>244760</v>
      </c>
      <c r="K106">
        <v>136800</v>
      </c>
      <c r="L106">
        <v>47006</v>
      </c>
      <c r="M106">
        <v>60954</v>
      </c>
      <c r="N106">
        <v>11</v>
      </c>
      <c r="O106" t="s">
        <v>27</v>
      </c>
      <c r="P106" t="s">
        <v>43</v>
      </c>
      <c r="Q106" s="1">
        <v>45207</v>
      </c>
      <c r="R106" s="1">
        <v>45200</v>
      </c>
      <c r="S106" t="s">
        <v>52</v>
      </c>
      <c r="T106" s="1">
        <v>45200</v>
      </c>
      <c r="U106">
        <v>2023</v>
      </c>
    </row>
    <row r="107" spans="1:21" x14ac:dyDescent="0.3">
      <c r="A107" t="s">
        <v>213</v>
      </c>
      <c r="B107" t="s">
        <v>72</v>
      </c>
      <c r="C107" t="s">
        <v>47</v>
      </c>
      <c r="D107" t="s">
        <v>91</v>
      </c>
      <c r="E107" s="1">
        <v>45049</v>
      </c>
      <c r="F107" t="s">
        <v>25</v>
      </c>
      <c r="G107" t="s">
        <v>33</v>
      </c>
      <c r="H107">
        <v>2</v>
      </c>
      <c r="I107">
        <v>45485</v>
      </c>
      <c r="J107">
        <v>90970</v>
      </c>
      <c r="K107">
        <v>47002</v>
      </c>
      <c r="L107">
        <v>15661</v>
      </c>
      <c r="M107">
        <v>28307</v>
      </c>
      <c r="N107">
        <v>37</v>
      </c>
      <c r="O107" t="s">
        <v>61</v>
      </c>
      <c r="P107" t="s">
        <v>43</v>
      </c>
      <c r="Q107" s="1">
        <v>45046</v>
      </c>
      <c r="R107" s="1">
        <v>45017</v>
      </c>
      <c r="S107" t="s">
        <v>68</v>
      </c>
      <c r="T107" s="1">
        <v>45047</v>
      </c>
      <c r="U107">
        <v>2023</v>
      </c>
    </row>
    <row r="108" spans="1:21" x14ac:dyDescent="0.3">
      <c r="A108" t="s">
        <v>214</v>
      </c>
      <c r="B108" t="s">
        <v>72</v>
      </c>
      <c r="C108" t="s">
        <v>47</v>
      </c>
      <c r="D108" t="s">
        <v>123</v>
      </c>
      <c r="E108" s="1">
        <v>45099</v>
      </c>
      <c r="F108" t="s">
        <v>25</v>
      </c>
      <c r="G108" t="s">
        <v>26</v>
      </c>
      <c r="H108">
        <v>8</v>
      </c>
      <c r="I108">
        <v>28188</v>
      </c>
      <c r="J108">
        <v>225504</v>
      </c>
      <c r="K108">
        <v>95364</v>
      </c>
      <c r="L108">
        <v>26698</v>
      </c>
      <c r="M108">
        <v>103442</v>
      </c>
      <c r="N108">
        <v>36</v>
      </c>
      <c r="O108" t="s">
        <v>42</v>
      </c>
      <c r="P108" t="s">
        <v>84</v>
      </c>
      <c r="Q108" s="1">
        <v>45095</v>
      </c>
      <c r="R108" s="1">
        <v>45017</v>
      </c>
      <c r="S108" t="s">
        <v>35</v>
      </c>
      <c r="T108" s="1">
        <v>45078</v>
      </c>
      <c r="U108">
        <v>2023</v>
      </c>
    </row>
    <row r="109" spans="1:21" x14ac:dyDescent="0.3">
      <c r="A109" t="s">
        <v>215</v>
      </c>
      <c r="B109" t="s">
        <v>31</v>
      </c>
      <c r="C109" t="s">
        <v>23</v>
      </c>
      <c r="D109" t="s">
        <v>163</v>
      </c>
      <c r="E109" s="1">
        <v>45218</v>
      </c>
      <c r="F109" t="s">
        <v>57</v>
      </c>
      <c r="G109" t="s">
        <v>26</v>
      </c>
      <c r="H109">
        <v>6</v>
      </c>
      <c r="I109">
        <v>14197</v>
      </c>
      <c r="J109">
        <v>85182</v>
      </c>
      <c r="K109">
        <v>43707</v>
      </c>
      <c r="L109">
        <v>9397</v>
      </c>
      <c r="M109">
        <v>32078</v>
      </c>
      <c r="N109">
        <v>4</v>
      </c>
      <c r="O109" t="s">
        <v>42</v>
      </c>
      <c r="P109" t="s">
        <v>84</v>
      </c>
      <c r="Q109" s="1">
        <v>45214</v>
      </c>
      <c r="R109" s="1">
        <v>45200</v>
      </c>
      <c r="S109" t="s">
        <v>52</v>
      </c>
      <c r="T109" s="1">
        <v>45200</v>
      </c>
      <c r="U109">
        <v>2023</v>
      </c>
    </row>
    <row r="110" spans="1:21" x14ac:dyDescent="0.3">
      <c r="A110" t="s">
        <v>216</v>
      </c>
      <c r="B110" t="s">
        <v>22</v>
      </c>
      <c r="C110" t="s">
        <v>23</v>
      </c>
      <c r="D110" t="s">
        <v>70</v>
      </c>
      <c r="E110" s="1">
        <v>45100</v>
      </c>
      <c r="F110" t="s">
        <v>57</v>
      </c>
      <c r="G110" t="s">
        <v>98</v>
      </c>
      <c r="H110">
        <v>2</v>
      </c>
      <c r="I110">
        <v>55606</v>
      </c>
      <c r="J110">
        <v>111212</v>
      </c>
      <c r="K110">
        <v>59736</v>
      </c>
      <c r="L110">
        <v>15575</v>
      </c>
      <c r="M110">
        <v>35901</v>
      </c>
      <c r="N110">
        <v>5</v>
      </c>
      <c r="O110" t="s">
        <v>61</v>
      </c>
      <c r="P110" t="s">
        <v>99</v>
      </c>
      <c r="Q110" s="1">
        <v>45095</v>
      </c>
      <c r="R110" s="1">
        <v>45017</v>
      </c>
      <c r="S110" t="s">
        <v>35</v>
      </c>
      <c r="T110" s="1">
        <v>45078</v>
      </c>
      <c r="U110">
        <v>2023</v>
      </c>
    </row>
    <row r="111" spans="1:21" x14ac:dyDescent="0.3">
      <c r="A111" t="s">
        <v>217</v>
      </c>
      <c r="B111" t="s">
        <v>31</v>
      </c>
      <c r="C111" t="s">
        <v>23</v>
      </c>
      <c r="D111" t="s">
        <v>106</v>
      </c>
      <c r="E111" s="1">
        <v>45127</v>
      </c>
      <c r="F111" t="s">
        <v>40</v>
      </c>
      <c r="G111" t="s">
        <v>64</v>
      </c>
      <c r="H111">
        <v>2</v>
      </c>
      <c r="I111">
        <v>32279</v>
      </c>
      <c r="J111">
        <v>64558</v>
      </c>
      <c r="K111">
        <v>21913</v>
      </c>
      <c r="L111">
        <v>7385</v>
      </c>
      <c r="M111">
        <v>35260</v>
      </c>
      <c r="N111">
        <v>8</v>
      </c>
      <c r="O111" t="s">
        <v>61</v>
      </c>
      <c r="P111" t="s">
        <v>84</v>
      </c>
      <c r="Q111" s="1">
        <v>45123</v>
      </c>
      <c r="R111" s="1">
        <v>45108</v>
      </c>
      <c r="S111" t="s">
        <v>29</v>
      </c>
      <c r="T111" s="1">
        <v>45108</v>
      </c>
      <c r="U111">
        <v>2023</v>
      </c>
    </row>
    <row r="112" spans="1:21" x14ac:dyDescent="0.3">
      <c r="A112" t="s">
        <v>218</v>
      </c>
      <c r="B112" t="s">
        <v>22</v>
      </c>
      <c r="C112" t="s">
        <v>23</v>
      </c>
      <c r="D112" t="s">
        <v>219</v>
      </c>
      <c r="E112" s="1">
        <v>45244</v>
      </c>
      <c r="F112" t="s">
        <v>25</v>
      </c>
      <c r="G112" t="s">
        <v>41</v>
      </c>
      <c r="H112">
        <v>1</v>
      </c>
      <c r="I112">
        <v>69526</v>
      </c>
      <c r="J112">
        <v>69526</v>
      </c>
      <c r="K112">
        <v>29855</v>
      </c>
      <c r="L112">
        <v>9871</v>
      </c>
      <c r="M112">
        <v>29800</v>
      </c>
      <c r="N112">
        <v>36</v>
      </c>
      <c r="O112" t="s">
        <v>50</v>
      </c>
      <c r="P112" t="s">
        <v>62</v>
      </c>
      <c r="Q112" s="1">
        <v>45242</v>
      </c>
      <c r="R112" s="1">
        <v>45200</v>
      </c>
      <c r="S112" t="s">
        <v>138</v>
      </c>
      <c r="T112" s="1">
        <v>45231</v>
      </c>
      <c r="U112">
        <v>2023</v>
      </c>
    </row>
    <row r="113" spans="1:21" x14ac:dyDescent="0.3">
      <c r="A113" t="s">
        <v>220</v>
      </c>
      <c r="B113" t="s">
        <v>22</v>
      </c>
      <c r="C113" t="s">
        <v>23</v>
      </c>
      <c r="D113" t="s">
        <v>221</v>
      </c>
      <c r="E113" s="1">
        <v>45019</v>
      </c>
      <c r="F113" t="s">
        <v>57</v>
      </c>
      <c r="G113" t="s">
        <v>26</v>
      </c>
      <c r="H113">
        <v>1</v>
      </c>
      <c r="I113">
        <v>11450</v>
      </c>
      <c r="J113">
        <v>11450</v>
      </c>
      <c r="K113">
        <v>6122</v>
      </c>
      <c r="L113">
        <v>1945</v>
      </c>
      <c r="M113">
        <v>3383</v>
      </c>
      <c r="N113">
        <v>17</v>
      </c>
      <c r="O113" t="s">
        <v>42</v>
      </c>
      <c r="P113" t="s">
        <v>51</v>
      </c>
      <c r="Q113" s="1">
        <v>45018</v>
      </c>
      <c r="R113" s="1">
        <v>45017</v>
      </c>
      <c r="S113" t="s">
        <v>74</v>
      </c>
      <c r="T113" s="1">
        <v>45017</v>
      </c>
      <c r="U113">
        <v>2023</v>
      </c>
    </row>
    <row r="114" spans="1:21" x14ac:dyDescent="0.3">
      <c r="A114" t="s">
        <v>222</v>
      </c>
      <c r="B114" t="s">
        <v>72</v>
      </c>
      <c r="C114" t="s">
        <v>47</v>
      </c>
      <c r="D114" t="s">
        <v>114</v>
      </c>
      <c r="E114" s="1">
        <v>44931</v>
      </c>
      <c r="F114" t="s">
        <v>25</v>
      </c>
      <c r="G114" t="s">
        <v>98</v>
      </c>
      <c r="H114">
        <v>9</v>
      </c>
      <c r="I114">
        <v>2023</v>
      </c>
      <c r="J114">
        <v>18207</v>
      </c>
      <c r="K114">
        <v>8845</v>
      </c>
      <c r="L114">
        <v>3389</v>
      </c>
      <c r="M114">
        <v>5973</v>
      </c>
      <c r="N114">
        <v>48</v>
      </c>
      <c r="O114" t="s">
        <v>27</v>
      </c>
      <c r="P114" t="s">
        <v>84</v>
      </c>
      <c r="Q114" s="1">
        <v>44927</v>
      </c>
      <c r="R114" s="1">
        <v>44927</v>
      </c>
      <c r="S114" t="s">
        <v>95</v>
      </c>
      <c r="T114" s="1">
        <v>44927</v>
      </c>
      <c r="U114">
        <v>2023</v>
      </c>
    </row>
    <row r="115" spans="1:21" x14ac:dyDescent="0.3">
      <c r="A115" t="s">
        <v>223</v>
      </c>
      <c r="B115" t="s">
        <v>46</v>
      </c>
      <c r="C115" t="s">
        <v>47</v>
      </c>
      <c r="D115" t="s">
        <v>70</v>
      </c>
      <c r="E115" s="1">
        <v>44947</v>
      </c>
      <c r="F115" t="s">
        <v>57</v>
      </c>
      <c r="G115" t="s">
        <v>33</v>
      </c>
      <c r="H115">
        <v>2</v>
      </c>
      <c r="I115">
        <v>58556</v>
      </c>
      <c r="J115">
        <v>117112</v>
      </c>
      <c r="K115">
        <v>49174</v>
      </c>
      <c r="L115">
        <v>16965</v>
      </c>
      <c r="M115">
        <v>50973</v>
      </c>
      <c r="N115">
        <v>19</v>
      </c>
      <c r="O115" t="s">
        <v>50</v>
      </c>
      <c r="P115" t="s">
        <v>67</v>
      </c>
      <c r="Q115" s="1">
        <v>44941</v>
      </c>
      <c r="R115" s="1">
        <v>44927</v>
      </c>
      <c r="S115" t="s">
        <v>95</v>
      </c>
      <c r="T115" s="1">
        <v>44927</v>
      </c>
      <c r="U115">
        <v>2023</v>
      </c>
    </row>
    <row r="116" spans="1:21" x14ac:dyDescent="0.3">
      <c r="A116" t="s">
        <v>224</v>
      </c>
      <c r="B116" t="s">
        <v>37</v>
      </c>
      <c r="C116" t="s">
        <v>38</v>
      </c>
      <c r="D116" t="s">
        <v>221</v>
      </c>
      <c r="E116" s="1">
        <v>45173</v>
      </c>
      <c r="F116" t="s">
        <v>25</v>
      </c>
      <c r="G116" t="s">
        <v>81</v>
      </c>
      <c r="H116">
        <v>8</v>
      </c>
      <c r="I116">
        <v>56640</v>
      </c>
      <c r="J116">
        <v>453120</v>
      </c>
      <c r="K116">
        <v>167471</v>
      </c>
      <c r="L116">
        <v>51089</v>
      </c>
      <c r="M116">
        <v>234560</v>
      </c>
      <c r="N116">
        <v>15</v>
      </c>
      <c r="O116" t="s">
        <v>42</v>
      </c>
      <c r="P116" t="s">
        <v>51</v>
      </c>
      <c r="Q116" s="1">
        <v>45172</v>
      </c>
      <c r="R116" s="1">
        <v>45108</v>
      </c>
      <c r="S116" t="s">
        <v>104</v>
      </c>
      <c r="T116" s="1">
        <v>45170</v>
      </c>
      <c r="U116">
        <v>2023</v>
      </c>
    </row>
    <row r="117" spans="1:21" x14ac:dyDescent="0.3">
      <c r="A117" t="s">
        <v>225</v>
      </c>
      <c r="B117" t="s">
        <v>37</v>
      </c>
      <c r="C117" t="s">
        <v>38</v>
      </c>
      <c r="D117" t="s">
        <v>219</v>
      </c>
      <c r="E117" s="1">
        <v>44968</v>
      </c>
      <c r="F117" t="s">
        <v>49</v>
      </c>
      <c r="G117" t="s">
        <v>64</v>
      </c>
      <c r="H117">
        <v>1</v>
      </c>
      <c r="I117">
        <v>13433</v>
      </c>
      <c r="J117">
        <v>13433</v>
      </c>
      <c r="K117">
        <v>4747</v>
      </c>
      <c r="L117">
        <v>2083</v>
      </c>
      <c r="M117">
        <v>6603</v>
      </c>
      <c r="N117">
        <v>43</v>
      </c>
      <c r="O117" t="s">
        <v>34</v>
      </c>
      <c r="P117" t="s">
        <v>67</v>
      </c>
      <c r="Q117" s="1">
        <v>44962</v>
      </c>
      <c r="R117" s="1">
        <v>44927</v>
      </c>
      <c r="S117" t="s">
        <v>85</v>
      </c>
      <c r="T117" s="1">
        <v>44958</v>
      </c>
      <c r="U117">
        <v>2023</v>
      </c>
    </row>
    <row r="118" spans="1:21" x14ac:dyDescent="0.3">
      <c r="A118" t="s">
        <v>226</v>
      </c>
      <c r="B118" t="s">
        <v>72</v>
      </c>
      <c r="C118" t="s">
        <v>47</v>
      </c>
      <c r="D118" t="s">
        <v>70</v>
      </c>
      <c r="E118" s="1">
        <v>45078</v>
      </c>
      <c r="F118" t="s">
        <v>25</v>
      </c>
      <c r="G118" t="s">
        <v>64</v>
      </c>
      <c r="H118">
        <v>6</v>
      </c>
      <c r="I118">
        <v>15121</v>
      </c>
      <c r="J118">
        <v>90726</v>
      </c>
      <c r="K118">
        <v>27662</v>
      </c>
      <c r="L118">
        <v>10360</v>
      </c>
      <c r="M118">
        <v>52704</v>
      </c>
      <c r="N118">
        <v>1</v>
      </c>
      <c r="O118" t="s">
        <v>27</v>
      </c>
      <c r="P118" t="s">
        <v>84</v>
      </c>
      <c r="Q118" s="1">
        <v>45074</v>
      </c>
      <c r="R118" s="1">
        <v>45017</v>
      </c>
      <c r="S118" t="s">
        <v>35</v>
      </c>
      <c r="T118" s="1">
        <v>45078</v>
      </c>
      <c r="U118">
        <v>2023</v>
      </c>
    </row>
    <row r="119" spans="1:21" x14ac:dyDescent="0.3">
      <c r="A119" t="s">
        <v>227</v>
      </c>
      <c r="B119" t="s">
        <v>72</v>
      </c>
      <c r="C119" t="s">
        <v>47</v>
      </c>
      <c r="D119" t="s">
        <v>125</v>
      </c>
      <c r="E119" s="1">
        <v>45131</v>
      </c>
      <c r="F119" t="s">
        <v>57</v>
      </c>
      <c r="G119" t="s">
        <v>58</v>
      </c>
      <c r="H119">
        <v>6</v>
      </c>
      <c r="I119">
        <v>34368</v>
      </c>
      <c r="J119">
        <v>206208</v>
      </c>
      <c r="K119">
        <v>115641</v>
      </c>
      <c r="L119">
        <v>26273</v>
      </c>
      <c r="M119">
        <v>64294</v>
      </c>
      <c r="N119">
        <v>3</v>
      </c>
      <c r="O119" t="s">
        <v>50</v>
      </c>
      <c r="P119" t="s">
        <v>51</v>
      </c>
      <c r="Q119" s="1">
        <v>45130</v>
      </c>
      <c r="R119" s="1">
        <v>45108</v>
      </c>
      <c r="S119" t="s">
        <v>29</v>
      </c>
      <c r="T119" s="1">
        <v>45108</v>
      </c>
      <c r="U119">
        <v>2023</v>
      </c>
    </row>
    <row r="120" spans="1:21" x14ac:dyDescent="0.3">
      <c r="A120" t="s">
        <v>228</v>
      </c>
      <c r="B120" t="s">
        <v>31</v>
      </c>
      <c r="C120" t="s">
        <v>23</v>
      </c>
      <c r="D120" t="s">
        <v>145</v>
      </c>
      <c r="E120" s="1">
        <v>45156</v>
      </c>
      <c r="F120" t="s">
        <v>40</v>
      </c>
      <c r="G120" t="s">
        <v>41</v>
      </c>
      <c r="H120">
        <v>3</v>
      </c>
      <c r="I120">
        <v>8467</v>
      </c>
      <c r="J120">
        <v>25401</v>
      </c>
      <c r="K120">
        <v>7663</v>
      </c>
      <c r="L120">
        <v>4366</v>
      </c>
      <c r="M120">
        <v>13372</v>
      </c>
      <c r="N120">
        <v>26</v>
      </c>
      <c r="O120" t="s">
        <v>34</v>
      </c>
      <c r="P120" t="s">
        <v>99</v>
      </c>
      <c r="Q120" s="1">
        <v>45151</v>
      </c>
      <c r="R120" s="1">
        <v>45108</v>
      </c>
      <c r="S120" t="s">
        <v>92</v>
      </c>
      <c r="T120" s="1">
        <v>45139</v>
      </c>
      <c r="U120">
        <v>2023</v>
      </c>
    </row>
    <row r="121" spans="1:21" x14ac:dyDescent="0.3">
      <c r="A121" t="s">
        <v>229</v>
      </c>
      <c r="B121" t="s">
        <v>46</v>
      </c>
      <c r="C121" t="s">
        <v>47</v>
      </c>
      <c r="D121" t="s">
        <v>133</v>
      </c>
      <c r="E121" s="1">
        <v>44991</v>
      </c>
      <c r="F121" t="s">
        <v>49</v>
      </c>
      <c r="G121" t="s">
        <v>41</v>
      </c>
      <c r="H121">
        <v>1</v>
      </c>
      <c r="I121">
        <v>45391</v>
      </c>
      <c r="J121">
        <v>45391</v>
      </c>
      <c r="K121">
        <v>27068</v>
      </c>
      <c r="L121">
        <v>4649</v>
      </c>
      <c r="M121">
        <v>13674</v>
      </c>
      <c r="N121">
        <v>1</v>
      </c>
      <c r="O121" t="s">
        <v>27</v>
      </c>
      <c r="P121" t="s">
        <v>51</v>
      </c>
      <c r="Q121" s="1">
        <v>44990</v>
      </c>
      <c r="R121" s="1">
        <v>44927</v>
      </c>
      <c r="S121" t="s">
        <v>44</v>
      </c>
      <c r="T121" s="1">
        <v>44986</v>
      </c>
      <c r="U121">
        <v>2023</v>
      </c>
    </row>
    <row r="122" spans="1:21" x14ac:dyDescent="0.3">
      <c r="A122" t="s">
        <v>230</v>
      </c>
      <c r="B122" t="s">
        <v>72</v>
      </c>
      <c r="C122" t="s">
        <v>47</v>
      </c>
      <c r="D122" t="s">
        <v>106</v>
      </c>
      <c r="E122" s="1">
        <v>45038</v>
      </c>
      <c r="F122" t="s">
        <v>40</v>
      </c>
      <c r="G122" t="s">
        <v>98</v>
      </c>
      <c r="H122">
        <v>4</v>
      </c>
      <c r="I122">
        <v>13018</v>
      </c>
      <c r="J122">
        <v>52072</v>
      </c>
      <c r="K122">
        <v>15942</v>
      </c>
      <c r="L122">
        <v>8411</v>
      </c>
      <c r="M122">
        <v>27719</v>
      </c>
      <c r="N122">
        <v>32</v>
      </c>
      <c r="O122" t="s">
        <v>61</v>
      </c>
      <c r="P122" t="s">
        <v>67</v>
      </c>
      <c r="Q122" s="1">
        <v>45032</v>
      </c>
      <c r="R122" s="1">
        <v>45017</v>
      </c>
      <c r="S122" t="s">
        <v>74</v>
      </c>
      <c r="T122" s="1">
        <v>45017</v>
      </c>
      <c r="U122">
        <v>2023</v>
      </c>
    </row>
    <row r="123" spans="1:21" x14ac:dyDescent="0.3">
      <c r="A123" t="s">
        <v>231</v>
      </c>
      <c r="B123" t="s">
        <v>31</v>
      </c>
      <c r="C123" t="s">
        <v>23</v>
      </c>
      <c r="D123" t="s">
        <v>125</v>
      </c>
      <c r="E123" s="1">
        <v>44966</v>
      </c>
      <c r="F123" t="s">
        <v>49</v>
      </c>
      <c r="G123" t="s">
        <v>26</v>
      </c>
      <c r="H123">
        <v>6</v>
      </c>
      <c r="I123">
        <v>44171</v>
      </c>
      <c r="J123">
        <v>265026</v>
      </c>
      <c r="K123">
        <v>111073</v>
      </c>
      <c r="L123">
        <v>34254</v>
      </c>
      <c r="M123">
        <v>119699</v>
      </c>
      <c r="N123">
        <v>24</v>
      </c>
      <c r="O123" t="s">
        <v>50</v>
      </c>
      <c r="P123" t="s">
        <v>84</v>
      </c>
      <c r="Q123" s="1">
        <v>44962</v>
      </c>
      <c r="R123" s="1">
        <v>44927</v>
      </c>
      <c r="S123" t="s">
        <v>85</v>
      </c>
      <c r="T123" s="1">
        <v>44958</v>
      </c>
      <c r="U123">
        <v>2023</v>
      </c>
    </row>
    <row r="124" spans="1:21" x14ac:dyDescent="0.3">
      <c r="A124" t="s">
        <v>232</v>
      </c>
      <c r="B124" t="s">
        <v>72</v>
      </c>
      <c r="C124" t="s">
        <v>47</v>
      </c>
      <c r="D124" t="s">
        <v>196</v>
      </c>
      <c r="E124" s="1">
        <v>45054</v>
      </c>
      <c r="F124" t="s">
        <v>49</v>
      </c>
      <c r="G124" t="s">
        <v>26</v>
      </c>
      <c r="H124">
        <v>9</v>
      </c>
      <c r="I124">
        <v>5660</v>
      </c>
      <c r="J124">
        <v>50940</v>
      </c>
      <c r="K124">
        <v>28830</v>
      </c>
      <c r="L124">
        <v>5489</v>
      </c>
      <c r="M124">
        <v>16621</v>
      </c>
      <c r="N124">
        <v>46</v>
      </c>
      <c r="O124" t="s">
        <v>42</v>
      </c>
      <c r="P124" t="s">
        <v>51</v>
      </c>
      <c r="Q124" s="1">
        <v>45053</v>
      </c>
      <c r="R124" s="1">
        <v>45017</v>
      </c>
      <c r="S124" t="s">
        <v>68</v>
      </c>
      <c r="T124" s="1">
        <v>45047</v>
      </c>
      <c r="U124">
        <v>2023</v>
      </c>
    </row>
    <row r="125" spans="1:21" x14ac:dyDescent="0.3">
      <c r="A125" t="s">
        <v>233</v>
      </c>
      <c r="B125" t="s">
        <v>72</v>
      </c>
      <c r="C125" t="s">
        <v>47</v>
      </c>
      <c r="D125" t="s">
        <v>142</v>
      </c>
      <c r="E125" s="1">
        <v>45148</v>
      </c>
      <c r="F125" t="s">
        <v>57</v>
      </c>
      <c r="G125" t="s">
        <v>64</v>
      </c>
      <c r="H125">
        <v>4</v>
      </c>
      <c r="I125">
        <v>68977</v>
      </c>
      <c r="J125">
        <v>275908</v>
      </c>
      <c r="K125">
        <v>142055</v>
      </c>
      <c r="L125">
        <v>31768</v>
      </c>
      <c r="M125">
        <v>102085</v>
      </c>
      <c r="N125">
        <v>49</v>
      </c>
      <c r="O125" t="s">
        <v>50</v>
      </c>
      <c r="P125" t="s">
        <v>84</v>
      </c>
      <c r="Q125" s="1">
        <v>45144</v>
      </c>
      <c r="R125" s="1">
        <v>45108</v>
      </c>
      <c r="S125" t="s">
        <v>92</v>
      </c>
      <c r="T125" s="1">
        <v>45139</v>
      </c>
      <c r="U125">
        <v>2023</v>
      </c>
    </row>
    <row r="126" spans="1:21" x14ac:dyDescent="0.3">
      <c r="A126" t="s">
        <v>234</v>
      </c>
      <c r="B126" t="s">
        <v>46</v>
      </c>
      <c r="C126" t="s">
        <v>47</v>
      </c>
      <c r="D126" t="s">
        <v>174</v>
      </c>
      <c r="E126" s="1">
        <v>45169</v>
      </c>
      <c r="F126" t="s">
        <v>57</v>
      </c>
      <c r="G126" t="s">
        <v>98</v>
      </c>
      <c r="H126">
        <v>6</v>
      </c>
      <c r="I126">
        <v>5680</v>
      </c>
      <c r="J126">
        <v>34080</v>
      </c>
      <c r="K126">
        <v>12085</v>
      </c>
      <c r="L126">
        <v>6303</v>
      </c>
      <c r="M126">
        <v>15692</v>
      </c>
      <c r="N126">
        <v>10</v>
      </c>
      <c r="O126" t="s">
        <v>27</v>
      </c>
      <c r="P126" t="s">
        <v>84</v>
      </c>
      <c r="Q126" s="1">
        <v>45165</v>
      </c>
      <c r="R126" s="1">
        <v>45108</v>
      </c>
      <c r="S126" t="s">
        <v>92</v>
      </c>
      <c r="T126" s="1">
        <v>45139</v>
      </c>
      <c r="U126">
        <v>2023</v>
      </c>
    </row>
    <row r="127" spans="1:21" x14ac:dyDescent="0.3">
      <c r="A127" t="s">
        <v>235</v>
      </c>
      <c r="B127" t="s">
        <v>72</v>
      </c>
      <c r="C127" t="s">
        <v>47</v>
      </c>
      <c r="D127" t="s">
        <v>78</v>
      </c>
      <c r="E127" s="1">
        <v>45153</v>
      </c>
      <c r="F127" t="s">
        <v>57</v>
      </c>
      <c r="G127" t="s">
        <v>26</v>
      </c>
      <c r="H127">
        <v>5</v>
      </c>
      <c r="I127">
        <v>12903</v>
      </c>
      <c r="J127">
        <v>64515</v>
      </c>
      <c r="K127">
        <v>36673</v>
      </c>
      <c r="L127">
        <v>9278</v>
      </c>
      <c r="M127">
        <v>18564</v>
      </c>
      <c r="N127">
        <v>48</v>
      </c>
      <c r="O127" t="s">
        <v>34</v>
      </c>
      <c r="P127" t="s">
        <v>62</v>
      </c>
      <c r="Q127" s="1">
        <v>45151</v>
      </c>
      <c r="R127" s="1">
        <v>45108</v>
      </c>
      <c r="S127" t="s">
        <v>92</v>
      </c>
      <c r="T127" s="1">
        <v>45139</v>
      </c>
      <c r="U127">
        <v>2023</v>
      </c>
    </row>
    <row r="128" spans="1:21" x14ac:dyDescent="0.3">
      <c r="A128" t="s">
        <v>236</v>
      </c>
      <c r="B128" t="s">
        <v>31</v>
      </c>
      <c r="C128" t="s">
        <v>23</v>
      </c>
      <c r="D128" t="s">
        <v>48</v>
      </c>
      <c r="E128" s="1">
        <v>45156</v>
      </c>
      <c r="F128" t="s">
        <v>57</v>
      </c>
      <c r="G128" t="s">
        <v>98</v>
      </c>
      <c r="H128">
        <v>2</v>
      </c>
      <c r="I128">
        <v>69251</v>
      </c>
      <c r="J128">
        <v>138502</v>
      </c>
      <c r="K128">
        <v>54526</v>
      </c>
      <c r="L128">
        <v>16500</v>
      </c>
      <c r="M128">
        <v>67476</v>
      </c>
      <c r="N128">
        <v>26</v>
      </c>
      <c r="O128" t="s">
        <v>50</v>
      </c>
      <c r="P128" t="s">
        <v>99</v>
      </c>
      <c r="Q128" s="1">
        <v>45151</v>
      </c>
      <c r="R128" s="1">
        <v>45108</v>
      </c>
      <c r="S128" t="s">
        <v>92</v>
      </c>
      <c r="T128" s="1">
        <v>45139</v>
      </c>
      <c r="U128">
        <v>2023</v>
      </c>
    </row>
    <row r="129" spans="1:21" x14ac:dyDescent="0.3">
      <c r="A129" t="s">
        <v>237</v>
      </c>
      <c r="B129" t="s">
        <v>37</v>
      </c>
      <c r="C129" t="s">
        <v>38</v>
      </c>
      <c r="D129" t="s">
        <v>56</v>
      </c>
      <c r="E129" s="1">
        <v>45207</v>
      </c>
      <c r="F129" t="s">
        <v>40</v>
      </c>
      <c r="G129" t="s">
        <v>64</v>
      </c>
      <c r="H129">
        <v>7</v>
      </c>
      <c r="I129">
        <v>63367</v>
      </c>
      <c r="J129">
        <v>443569</v>
      </c>
      <c r="K129">
        <v>264135</v>
      </c>
      <c r="L129">
        <v>69144</v>
      </c>
      <c r="M129">
        <v>110290</v>
      </c>
      <c r="N129">
        <v>2</v>
      </c>
      <c r="O129" t="s">
        <v>34</v>
      </c>
      <c r="P129" t="s">
        <v>28</v>
      </c>
      <c r="Q129" s="1">
        <v>45207</v>
      </c>
      <c r="R129" s="1">
        <v>45200</v>
      </c>
      <c r="S129" t="s">
        <v>52</v>
      </c>
      <c r="T129" s="1">
        <v>45200</v>
      </c>
      <c r="U129">
        <v>2023</v>
      </c>
    </row>
    <row r="130" spans="1:21" x14ac:dyDescent="0.3">
      <c r="A130" t="s">
        <v>238</v>
      </c>
      <c r="B130" t="s">
        <v>46</v>
      </c>
      <c r="C130" t="s">
        <v>47</v>
      </c>
      <c r="D130" t="s">
        <v>209</v>
      </c>
      <c r="E130" s="1">
        <v>45043</v>
      </c>
      <c r="F130" t="s">
        <v>49</v>
      </c>
      <c r="G130" t="s">
        <v>81</v>
      </c>
      <c r="H130">
        <v>6</v>
      </c>
      <c r="I130">
        <v>7523</v>
      </c>
      <c r="J130">
        <v>45138</v>
      </c>
      <c r="K130">
        <v>20442</v>
      </c>
      <c r="L130">
        <v>5455</v>
      </c>
      <c r="M130">
        <v>19241</v>
      </c>
      <c r="N130">
        <v>17</v>
      </c>
      <c r="O130" t="s">
        <v>27</v>
      </c>
      <c r="P130" t="s">
        <v>84</v>
      </c>
      <c r="Q130" s="1">
        <v>45039</v>
      </c>
      <c r="R130" s="1">
        <v>45017</v>
      </c>
      <c r="S130" t="s">
        <v>74</v>
      </c>
      <c r="T130" s="1">
        <v>45017</v>
      </c>
      <c r="U130">
        <v>2023</v>
      </c>
    </row>
    <row r="131" spans="1:21" x14ac:dyDescent="0.3">
      <c r="A131" t="s">
        <v>239</v>
      </c>
      <c r="B131" t="s">
        <v>22</v>
      </c>
      <c r="C131" t="s">
        <v>23</v>
      </c>
      <c r="D131" t="s">
        <v>168</v>
      </c>
      <c r="E131" s="1">
        <v>45210</v>
      </c>
      <c r="F131" t="s">
        <v>49</v>
      </c>
      <c r="G131" t="s">
        <v>41</v>
      </c>
      <c r="H131">
        <v>4</v>
      </c>
      <c r="I131">
        <v>35467</v>
      </c>
      <c r="J131">
        <v>141868</v>
      </c>
      <c r="K131">
        <v>51994</v>
      </c>
      <c r="L131">
        <v>21542</v>
      </c>
      <c r="M131">
        <v>68332</v>
      </c>
      <c r="N131">
        <v>24</v>
      </c>
      <c r="O131" t="s">
        <v>27</v>
      </c>
      <c r="P131" t="s">
        <v>43</v>
      </c>
      <c r="Q131" s="1">
        <v>45207</v>
      </c>
      <c r="R131" s="1">
        <v>45200</v>
      </c>
      <c r="S131" t="s">
        <v>52</v>
      </c>
      <c r="T131" s="1">
        <v>45200</v>
      </c>
      <c r="U131">
        <v>2023</v>
      </c>
    </row>
    <row r="132" spans="1:21" x14ac:dyDescent="0.3">
      <c r="A132" t="s">
        <v>240</v>
      </c>
      <c r="B132" t="s">
        <v>22</v>
      </c>
      <c r="C132" t="s">
        <v>23</v>
      </c>
      <c r="D132" t="s">
        <v>78</v>
      </c>
      <c r="E132" s="1">
        <v>45059</v>
      </c>
      <c r="F132" t="s">
        <v>40</v>
      </c>
      <c r="G132" t="s">
        <v>58</v>
      </c>
      <c r="H132">
        <v>7</v>
      </c>
      <c r="I132">
        <v>37907</v>
      </c>
      <c r="J132">
        <v>265349</v>
      </c>
      <c r="K132">
        <v>135790</v>
      </c>
      <c r="L132">
        <v>44368</v>
      </c>
      <c r="M132">
        <v>85191</v>
      </c>
      <c r="N132">
        <v>6</v>
      </c>
      <c r="O132" t="s">
        <v>50</v>
      </c>
      <c r="P132" t="s">
        <v>67</v>
      </c>
      <c r="Q132" s="1">
        <v>45053</v>
      </c>
      <c r="R132" s="1">
        <v>45017</v>
      </c>
      <c r="S132" t="s">
        <v>68</v>
      </c>
      <c r="T132" s="1">
        <v>45047</v>
      </c>
      <c r="U132">
        <v>2023</v>
      </c>
    </row>
    <row r="133" spans="1:21" x14ac:dyDescent="0.3">
      <c r="A133" t="s">
        <v>241</v>
      </c>
      <c r="B133" t="s">
        <v>31</v>
      </c>
      <c r="C133" t="s">
        <v>23</v>
      </c>
      <c r="D133" t="s">
        <v>111</v>
      </c>
      <c r="E133" s="1">
        <v>45225</v>
      </c>
      <c r="F133" t="s">
        <v>49</v>
      </c>
      <c r="G133" t="s">
        <v>58</v>
      </c>
      <c r="H133">
        <v>10</v>
      </c>
      <c r="I133">
        <v>12645</v>
      </c>
      <c r="J133">
        <v>126450</v>
      </c>
      <c r="K133">
        <v>46592</v>
      </c>
      <c r="L133">
        <v>16535</v>
      </c>
      <c r="M133">
        <v>63323</v>
      </c>
      <c r="N133">
        <v>9</v>
      </c>
      <c r="O133" t="s">
        <v>34</v>
      </c>
      <c r="P133" t="s">
        <v>84</v>
      </c>
      <c r="Q133" s="1">
        <v>45221</v>
      </c>
      <c r="R133" s="1">
        <v>45200</v>
      </c>
      <c r="S133" t="s">
        <v>52</v>
      </c>
      <c r="T133" s="1">
        <v>45200</v>
      </c>
      <c r="U133">
        <v>2023</v>
      </c>
    </row>
    <row r="134" spans="1:21" x14ac:dyDescent="0.3">
      <c r="A134" t="s">
        <v>242</v>
      </c>
      <c r="B134" t="s">
        <v>72</v>
      </c>
      <c r="C134" t="s">
        <v>47</v>
      </c>
      <c r="D134" t="s">
        <v>190</v>
      </c>
      <c r="E134" s="1">
        <v>45138</v>
      </c>
      <c r="F134" t="s">
        <v>40</v>
      </c>
      <c r="G134" t="s">
        <v>64</v>
      </c>
      <c r="H134">
        <v>4</v>
      </c>
      <c r="I134">
        <v>20480</v>
      </c>
      <c r="J134">
        <v>81920</v>
      </c>
      <c r="K134">
        <v>37658</v>
      </c>
      <c r="L134">
        <v>8539</v>
      </c>
      <c r="M134">
        <v>35723</v>
      </c>
      <c r="N134">
        <v>12</v>
      </c>
      <c r="O134" t="s">
        <v>61</v>
      </c>
      <c r="P134" t="s">
        <v>51</v>
      </c>
      <c r="Q134" s="1">
        <v>45137</v>
      </c>
      <c r="R134" s="1">
        <v>45108</v>
      </c>
      <c r="S134" t="s">
        <v>29</v>
      </c>
      <c r="T134" s="1">
        <v>45108</v>
      </c>
      <c r="U134">
        <v>2023</v>
      </c>
    </row>
    <row r="135" spans="1:21" x14ac:dyDescent="0.3">
      <c r="A135" t="s">
        <v>243</v>
      </c>
      <c r="B135" t="s">
        <v>31</v>
      </c>
      <c r="C135" t="s">
        <v>23</v>
      </c>
      <c r="D135" t="s">
        <v>87</v>
      </c>
      <c r="E135" s="1">
        <v>44930</v>
      </c>
      <c r="F135" t="s">
        <v>57</v>
      </c>
      <c r="G135" t="s">
        <v>33</v>
      </c>
      <c r="H135">
        <v>9</v>
      </c>
      <c r="I135">
        <v>20861</v>
      </c>
      <c r="J135">
        <v>187749</v>
      </c>
      <c r="K135">
        <v>106175</v>
      </c>
      <c r="L135">
        <v>26737</v>
      </c>
      <c r="M135">
        <v>54837</v>
      </c>
      <c r="N135">
        <v>38</v>
      </c>
      <c r="O135" t="s">
        <v>42</v>
      </c>
      <c r="P135" t="s">
        <v>43</v>
      </c>
      <c r="Q135" s="1">
        <v>44927</v>
      </c>
      <c r="R135" s="1">
        <v>44927</v>
      </c>
      <c r="S135" t="s">
        <v>95</v>
      </c>
      <c r="T135" s="1">
        <v>44927</v>
      </c>
      <c r="U135">
        <v>2023</v>
      </c>
    </row>
    <row r="136" spans="1:21" x14ac:dyDescent="0.3">
      <c r="A136" t="s">
        <v>244</v>
      </c>
      <c r="B136" t="s">
        <v>22</v>
      </c>
      <c r="C136" t="s">
        <v>23</v>
      </c>
      <c r="D136" t="s">
        <v>106</v>
      </c>
      <c r="E136" s="1">
        <v>44958</v>
      </c>
      <c r="F136" t="s">
        <v>57</v>
      </c>
      <c r="G136" t="s">
        <v>33</v>
      </c>
      <c r="H136">
        <v>7</v>
      </c>
      <c r="I136">
        <v>25235</v>
      </c>
      <c r="J136">
        <v>176645</v>
      </c>
      <c r="K136">
        <v>98410</v>
      </c>
      <c r="L136">
        <v>34004</v>
      </c>
      <c r="M136">
        <v>44231</v>
      </c>
      <c r="N136">
        <v>3</v>
      </c>
      <c r="O136" t="s">
        <v>50</v>
      </c>
      <c r="P136" t="s">
        <v>43</v>
      </c>
      <c r="Q136" s="1">
        <v>44955</v>
      </c>
      <c r="R136" s="1">
        <v>44927</v>
      </c>
      <c r="S136" t="s">
        <v>85</v>
      </c>
      <c r="T136" s="1">
        <v>44958</v>
      </c>
      <c r="U136">
        <v>2023</v>
      </c>
    </row>
    <row r="137" spans="1:21" x14ac:dyDescent="0.3">
      <c r="A137" t="s">
        <v>245</v>
      </c>
      <c r="B137" t="s">
        <v>22</v>
      </c>
      <c r="C137" t="s">
        <v>23</v>
      </c>
      <c r="D137" t="s">
        <v>196</v>
      </c>
      <c r="E137" s="1">
        <v>45077</v>
      </c>
      <c r="F137" t="s">
        <v>57</v>
      </c>
      <c r="G137" t="s">
        <v>33</v>
      </c>
      <c r="H137">
        <v>10</v>
      </c>
      <c r="I137">
        <v>23100</v>
      </c>
      <c r="J137">
        <v>231000</v>
      </c>
      <c r="K137">
        <v>108174</v>
      </c>
      <c r="L137">
        <v>43560</v>
      </c>
      <c r="M137">
        <v>79266</v>
      </c>
      <c r="N137">
        <v>45</v>
      </c>
      <c r="O137" t="s">
        <v>34</v>
      </c>
      <c r="P137" t="s">
        <v>43</v>
      </c>
      <c r="Q137" s="1">
        <v>45074</v>
      </c>
      <c r="R137" s="1">
        <v>45017</v>
      </c>
      <c r="S137" t="s">
        <v>68</v>
      </c>
      <c r="T137" s="1">
        <v>45047</v>
      </c>
      <c r="U137">
        <v>2023</v>
      </c>
    </row>
    <row r="138" spans="1:21" x14ac:dyDescent="0.3">
      <c r="A138" t="s">
        <v>246</v>
      </c>
      <c r="B138" t="s">
        <v>22</v>
      </c>
      <c r="C138" t="s">
        <v>23</v>
      </c>
      <c r="D138" t="s">
        <v>142</v>
      </c>
      <c r="E138" s="1">
        <v>45026</v>
      </c>
      <c r="F138" t="s">
        <v>57</v>
      </c>
      <c r="G138" t="s">
        <v>58</v>
      </c>
      <c r="H138">
        <v>6</v>
      </c>
      <c r="I138">
        <v>46337</v>
      </c>
      <c r="J138">
        <v>278022</v>
      </c>
      <c r="K138">
        <v>140665</v>
      </c>
      <c r="L138">
        <v>55422</v>
      </c>
      <c r="M138">
        <v>81935</v>
      </c>
      <c r="N138">
        <v>28</v>
      </c>
      <c r="O138" t="s">
        <v>50</v>
      </c>
      <c r="P138" t="s">
        <v>51</v>
      </c>
      <c r="Q138" s="1">
        <v>45025</v>
      </c>
      <c r="R138" s="1">
        <v>45017</v>
      </c>
      <c r="S138" t="s">
        <v>74</v>
      </c>
      <c r="T138" s="1">
        <v>45017</v>
      </c>
      <c r="U138">
        <v>2023</v>
      </c>
    </row>
    <row r="139" spans="1:21" x14ac:dyDescent="0.3">
      <c r="A139" t="s">
        <v>247</v>
      </c>
      <c r="B139" t="s">
        <v>22</v>
      </c>
      <c r="C139" t="s">
        <v>23</v>
      </c>
      <c r="D139" t="s">
        <v>111</v>
      </c>
      <c r="E139" s="1">
        <v>45152</v>
      </c>
      <c r="F139" t="s">
        <v>49</v>
      </c>
      <c r="G139" t="s">
        <v>81</v>
      </c>
      <c r="H139">
        <v>9</v>
      </c>
      <c r="I139">
        <v>60334</v>
      </c>
      <c r="J139">
        <v>543006</v>
      </c>
      <c r="K139">
        <v>182611</v>
      </c>
      <c r="L139">
        <v>56232</v>
      </c>
      <c r="M139">
        <v>304163</v>
      </c>
      <c r="N139">
        <v>24</v>
      </c>
      <c r="O139" t="s">
        <v>42</v>
      </c>
      <c r="P139" t="s">
        <v>51</v>
      </c>
      <c r="Q139" s="1">
        <v>45151</v>
      </c>
      <c r="R139" s="1">
        <v>45108</v>
      </c>
      <c r="S139" t="s">
        <v>92</v>
      </c>
      <c r="T139" s="1">
        <v>45139</v>
      </c>
      <c r="U139">
        <v>2023</v>
      </c>
    </row>
    <row r="140" spans="1:21" x14ac:dyDescent="0.3">
      <c r="A140" t="s">
        <v>248</v>
      </c>
      <c r="B140" t="s">
        <v>72</v>
      </c>
      <c r="C140" t="s">
        <v>47</v>
      </c>
      <c r="D140" t="s">
        <v>73</v>
      </c>
      <c r="E140" s="1">
        <v>45174</v>
      </c>
      <c r="F140" t="s">
        <v>40</v>
      </c>
      <c r="G140" t="s">
        <v>98</v>
      </c>
      <c r="H140">
        <v>8</v>
      </c>
      <c r="I140">
        <v>53280</v>
      </c>
      <c r="J140">
        <v>426240</v>
      </c>
      <c r="K140">
        <v>146608</v>
      </c>
      <c r="L140">
        <v>74435</v>
      </c>
      <c r="M140">
        <v>205197</v>
      </c>
      <c r="N140">
        <v>1</v>
      </c>
      <c r="O140" t="s">
        <v>34</v>
      </c>
      <c r="P140" t="s">
        <v>62</v>
      </c>
      <c r="Q140" s="1">
        <v>45172</v>
      </c>
      <c r="R140" s="1">
        <v>45108</v>
      </c>
      <c r="S140" t="s">
        <v>104</v>
      </c>
      <c r="T140" s="1">
        <v>45170</v>
      </c>
      <c r="U140">
        <v>2023</v>
      </c>
    </row>
    <row r="141" spans="1:21" x14ac:dyDescent="0.3">
      <c r="A141" t="s">
        <v>249</v>
      </c>
      <c r="B141" t="s">
        <v>31</v>
      </c>
      <c r="C141" t="s">
        <v>23</v>
      </c>
      <c r="D141" t="s">
        <v>135</v>
      </c>
      <c r="E141" s="1">
        <v>45153</v>
      </c>
      <c r="F141" t="s">
        <v>57</v>
      </c>
      <c r="G141" t="s">
        <v>64</v>
      </c>
      <c r="H141">
        <v>4</v>
      </c>
      <c r="I141">
        <v>58524</v>
      </c>
      <c r="J141">
        <v>234096</v>
      </c>
      <c r="K141">
        <v>117618</v>
      </c>
      <c r="L141">
        <v>37756</v>
      </c>
      <c r="M141">
        <v>78722</v>
      </c>
      <c r="N141">
        <v>10</v>
      </c>
      <c r="O141" t="s">
        <v>27</v>
      </c>
      <c r="P141" t="s">
        <v>62</v>
      </c>
      <c r="Q141" s="1">
        <v>45151</v>
      </c>
      <c r="R141" s="1">
        <v>45108</v>
      </c>
      <c r="S141" t="s">
        <v>92</v>
      </c>
      <c r="T141" s="1">
        <v>45139</v>
      </c>
      <c r="U141">
        <v>2023</v>
      </c>
    </row>
    <row r="142" spans="1:21" x14ac:dyDescent="0.3">
      <c r="A142" t="s">
        <v>250</v>
      </c>
      <c r="B142" t="s">
        <v>46</v>
      </c>
      <c r="C142" t="s">
        <v>47</v>
      </c>
      <c r="D142" t="s">
        <v>209</v>
      </c>
      <c r="E142" s="1">
        <v>45170</v>
      </c>
      <c r="F142" t="s">
        <v>57</v>
      </c>
      <c r="G142" t="s">
        <v>33</v>
      </c>
      <c r="H142">
        <v>9</v>
      </c>
      <c r="I142">
        <v>63813</v>
      </c>
      <c r="J142">
        <v>574317</v>
      </c>
      <c r="K142">
        <v>325387</v>
      </c>
      <c r="L142">
        <v>94628</v>
      </c>
      <c r="M142">
        <v>154302</v>
      </c>
      <c r="N142">
        <v>16</v>
      </c>
      <c r="O142" t="s">
        <v>50</v>
      </c>
      <c r="P142" t="s">
        <v>99</v>
      </c>
      <c r="Q142" s="1">
        <v>45165</v>
      </c>
      <c r="R142" s="1">
        <v>45108</v>
      </c>
      <c r="S142" t="s">
        <v>104</v>
      </c>
      <c r="T142" s="1">
        <v>45170</v>
      </c>
      <c r="U142">
        <v>2023</v>
      </c>
    </row>
    <row r="143" spans="1:21" x14ac:dyDescent="0.3">
      <c r="A143" t="s">
        <v>251</v>
      </c>
      <c r="B143" t="s">
        <v>31</v>
      </c>
      <c r="C143" t="s">
        <v>23</v>
      </c>
      <c r="D143" t="s">
        <v>80</v>
      </c>
      <c r="E143" s="1">
        <v>45064</v>
      </c>
      <c r="F143" t="s">
        <v>49</v>
      </c>
      <c r="G143" t="s">
        <v>41</v>
      </c>
      <c r="H143">
        <v>8</v>
      </c>
      <c r="I143">
        <v>5470</v>
      </c>
      <c r="J143">
        <v>43760</v>
      </c>
      <c r="K143">
        <v>14676</v>
      </c>
      <c r="L143">
        <v>6669</v>
      </c>
      <c r="M143">
        <v>22415</v>
      </c>
      <c r="N143">
        <v>8</v>
      </c>
      <c r="O143" t="s">
        <v>42</v>
      </c>
      <c r="P143" t="s">
        <v>84</v>
      </c>
      <c r="Q143" s="1">
        <v>45060</v>
      </c>
      <c r="R143" s="1">
        <v>45017</v>
      </c>
      <c r="S143" t="s">
        <v>68</v>
      </c>
      <c r="T143" s="1">
        <v>45047</v>
      </c>
      <c r="U143">
        <v>2023</v>
      </c>
    </row>
    <row r="144" spans="1:21" x14ac:dyDescent="0.3">
      <c r="A144" t="s">
        <v>252</v>
      </c>
      <c r="B144" t="s">
        <v>37</v>
      </c>
      <c r="C144" t="s">
        <v>38</v>
      </c>
      <c r="D144" t="s">
        <v>176</v>
      </c>
      <c r="E144" s="1">
        <v>45129</v>
      </c>
      <c r="F144" t="s">
        <v>40</v>
      </c>
      <c r="G144" t="s">
        <v>26</v>
      </c>
      <c r="H144">
        <v>5</v>
      </c>
      <c r="I144">
        <v>60022</v>
      </c>
      <c r="J144">
        <v>300110</v>
      </c>
      <c r="K144">
        <v>162654</v>
      </c>
      <c r="L144">
        <v>56801</v>
      </c>
      <c r="M144">
        <v>80655</v>
      </c>
      <c r="N144">
        <v>12</v>
      </c>
      <c r="O144" t="s">
        <v>34</v>
      </c>
      <c r="P144" t="s">
        <v>67</v>
      </c>
      <c r="Q144" s="1">
        <v>45123</v>
      </c>
      <c r="R144" s="1">
        <v>45108</v>
      </c>
      <c r="S144" t="s">
        <v>29</v>
      </c>
      <c r="T144" s="1">
        <v>45108</v>
      </c>
      <c r="U144">
        <v>2023</v>
      </c>
    </row>
    <row r="145" spans="1:21" x14ac:dyDescent="0.3">
      <c r="A145" t="s">
        <v>253</v>
      </c>
      <c r="B145" t="s">
        <v>37</v>
      </c>
      <c r="C145" t="s">
        <v>38</v>
      </c>
      <c r="D145" t="s">
        <v>135</v>
      </c>
      <c r="E145" s="1">
        <v>45085</v>
      </c>
      <c r="F145" t="s">
        <v>40</v>
      </c>
      <c r="G145" t="s">
        <v>64</v>
      </c>
      <c r="H145">
        <v>6</v>
      </c>
      <c r="I145">
        <v>38083</v>
      </c>
      <c r="J145">
        <v>228498</v>
      </c>
      <c r="K145">
        <v>105976</v>
      </c>
      <c r="L145">
        <v>42905</v>
      </c>
      <c r="M145">
        <v>79617</v>
      </c>
      <c r="N145">
        <v>10</v>
      </c>
      <c r="O145" t="s">
        <v>50</v>
      </c>
      <c r="P145" t="s">
        <v>84</v>
      </c>
      <c r="Q145" s="1">
        <v>45081</v>
      </c>
      <c r="R145" s="1">
        <v>45017</v>
      </c>
      <c r="S145" t="s">
        <v>35</v>
      </c>
      <c r="T145" s="1">
        <v>45078</v>
      </c>
      <c r="U145">
        <v>2023</v>
      </c>
    </row>
    <row r="146" spans="1:21" x14ac:dyDescent="0.3">
      <c r="A146" t="s">
        <v>254</v>
      </c>
      <c r="B146" t="s">
        <v>37</v>
      </c>
      <c r="C146" t="s">
        <v>38</v>
      </c>
      <c r="D146" t="s">
        <v>39</v>
      </c>
      <c r="E146" s="1">
        <v>44931</v>
      </c>
      <c r="F146" t="s">
        <v>49</v>
      </c>
      <c r="G146" t="s">
        <v>64</v>
      </c>
      <c r="H146">
        <v>6</v>
      </c>
      <c r="I146">
        <v>36571</v>
      </c>
      <c r="J146">
        <v>219426</v>
      </c>
      <c r="K146">
        <v>91931</v>
      </c>
      <c r="L146">
        <v>33763</v>
      </c>
      <c r="M146">
        <v>93732</v>
      </c>
      <c r="N146">
        <v>6</v>
      </c>
      <c r="O146" t="s">
        <v>42</v>
      </c>
      <c r="P146" t="s">
        <v>84</v>
      </c>
      <c r="Q146" s="1">
        <v>44927</v>
      </c>
      <c r="R146" s="1">
        <v>44927</v>
      </c>
      <c r="S146" t="s">
        <v>95</v>
      </c>
      <c r="T146" s="1">
        <v>44927</v>
      </c>
      <c r="U146">
        <v>2023</v>
      </c>
    </row>
    <row r="147" spans="1:21" x14ac:dyDescent="0.3">
      <c r="A147" t="s">
        <v>255</v>
      </c>
      <c r="B147" t="s">
        <v>22</v>
      </c>
      <c r="C147" t="s">
        <v>23</v>
      </c>
      <c r="D147" t="s">
        <v>256</v>
      </c>
      <c r="E147" s="1">
        <v>45218</v>
      </c>
      <c r="F147" t="s">
        <v>25</v>
      </c>
      <c r="G147" t="s">
        <v>58</v>
      </c>
      <c r="H147">
        <v>7</v>
      </c>
      <c r="I147">
        <v>22317</v>
      </c>
      <c r="J147">
        <v>156219</v>
      </c>
      <c r="K147">
        <v>87057</v>
      </c>
      <c r="L147">
        <v>16380</v>
      </c>
      <c r="M147">
        <v>52782</v>
      </c>
      <c r="N147">
        <v>42</v>
      </c>
      <c r="O147" t="s">
        <v>34</v>
      </c>
      <c r="P147" t="s">
        <v>84</v>
      </c>
      <c r="Q147" s="1">
        <v>45214</v>
      </c>
      <c r="R147" s="1">
        <v>45200</v>
      </c>
      <c r="S147" t="s">
        <v>52</v>
      </c>
      <c r="T147" s="1">
        <v>45200</v>
      </c>
      <c r="U147">
        <v>2023</v>
      </c>
    </row>
    <row r="148" spans="1:21" x14ac:dyDescent="0.3">
      <c r="A148" t="s">
        <v>257</v>
      </c>
      <c r="B148" t="s">
        <v>46</v>
      </c>
      <c r="C148" t="s">
        <v>47</v>
      </c>
      <c r="D148" t="s">
        <v>83</v>
      </c>
      <c r="E148" s="1">
        <v>45143</v>
      </c>
      <c r="F148" t="s">
        <v>40</v>
      </c>
      <c r="G148" t="s">
        <v>64</v>
      </c>
      <c r="H148">
        <v>8</v>
      </c>
      <c r="I148">
        <v>32092</v>
      </c>
      <c r="J148">
        <v>256736</v>
      </c>
      <c r="K148">
        <v>95177</v>
      </c>
      <c r="L148">
        <v>38671</v>
      </c>
      <c r="M148">
        <v>122888</v>
      </c>
      <c r="N148">
        <v>7</v>
      </c>
      <c r="O148" t="s">
        <v>27</v>
      </c>
      <c r="P148" t="s">
        <v>67</v>
      </c>
      <c r="Q148" s="1">
        <v>45137</v>
      </c>
      <c r="R148" s="1">
        <v>45108</v>
      </c>
      <c r="S148" t="s">
        <v>92</v>
      </c>
      <c r="T148" s="1">
        <v>45139</v>
      </c>
      <c r="U148">
        <v>2023</v>
      </c>
    </row>
    <row r="149" spans="1:21" x14ac:dyDescent="0.3">
      <c r="A149" t="s">
        <v>258</v>
      </c>
      <c r="B149" t="s">
        <v>72</v>
      </c>
      <c r="C149" t="s">
        <v>47</v>
      </c>
      <c r="D149" t="s">
        <v>133</v>
      </c>
      <c r="E149" s="1">
        <v>45048</v>
      </c>
      <c r="F149" t="s">
        <v>40</v>
      </c>
      <c r="G149" t="s">
        <v>64</v>
      </c>
      <c r="H149">
        <v>5</v>
      </c>
      <c r="I149">
        <v>48363</v>
      </c>
      <c r="J149">
        <v>241815</v>
      </c>
      <c r="K149">
        <v>131479</v>
      </c>
      <c r="L149">
        <v>31519</v>
      </c>
      <c r="M149">
        <v>78817</v>
      </c>
      <c r="N149">
        <v>23</v>
      </c>
      <c r="O149" t="s">
        <v>61</v>
      </c>
      <c r="P149" t="s">
        <v>62</v>
      </c>
      <c r="Q149" s="1">
        <v>45046</v>
      </c>
      <c r="R149" s="1">
        <v>45017</v>
      </c>
      <c r="S149" t="s">
        <v>68</v>
      </c>
      <c r="T149" s="1">
        <v>45047</v>
      </c>
      <c r="U149">
        <v>2023</v>
      </c>
    </row>
    <row r="150" spans="1:21" x14ac:dyDescent="0.3">
      <c r="A150" t="s">
        <v>259</v>
      </c>
      <c r="B150" t="s">
        <v>72</v>
      </c>
      <c r="C150" t="s">
        <v>47</v>
      </c>
      <c r="D150" t="s">
        <v>32</v>
      </c>
      <c r="E150" s="1">
        <v>45085</v>
      </c>
      <c r="F150" t="s">
        <v>57</v>
      </c>
      <c r="G150" t="s">
        <v>81</v>
      </c>
      <c r="H150">
        <v>4</v>
      </c>
      <c r="I150">
        <v>60317</v>
      </c>
      <c r="J150">
        <v>241268</v>
      </c>
      <c r="K150">
        <v>83741</v>
      </c>
      <c r="L150">
        <v>24634</v>
      </c>
      <c r="M150">
        <v>132893</v>
      </c>
      <c r="N150">
        <v>30</v>
      </c>
      <c r="O150" t="s">
        <v>42</v>
      </c>
      <c r="P150" t="s">
        <v>84</v>
      </c>
      <c r="Q150" s="1">
        <v>45081</v>
      </c>
      <c r="R150" s="1">
        <v>45017</v>
      </c>
      <c r="S150" t="s">
        <v>35</v>
      </c>
      <c r="T150" s="1">
        <v>45078</v>
      </c>
      <c r="U150">
        <v>2023</v>
      </c>
    </row>
    <row r="151" spans="1:21" x14ac:dyDescent="0.3">
      <c r="A151" t="s">
        <v>260</v>
      </c>
      <c r="B151" t="s">
        <v>22</v>
      </c>
      <c r="C151" t="s">
        <v>23</v>
      </c>
      <c r="D151" t="s">
        <v>128</v>
      </c>
      <c r="E151" s="1">
        <v>44983</v>
      </c>
      <c r="F151" t="s">
        <v>49</v>
      </c>
      <c r="G151" t="s">
        <v>33</v>
      </c>
      <c r="H151">
        <v>4</v>
      </c>
      <c r="I151">
        <v>2919</v>
      </c>
      <c r="J151">
        <v>11676</v>
      </c>
      <c r="K151">
        <v>5575</v>
      </c>
      <c r="L151">
        <v>1213</v>
      </c>
      <c r="M151">
        <v>4888</v>
      </c>
      <c r="N151">
        <v>34</v>
      </c>
      <c r="O151" t="s">
        <v>27</v>
      </c>
      <c r="P151" t="s">
        <v>28</v>
      </c>
      <c r="Q151" s="1">
        <v>44983</v>
      </c>
      <c r="R151" s="1">
        <v>44927</v>
      </c>
      <c r="S151" t="s">
        <v>85</v>
      </c>
      <c r="T151" s="1">
        <v>44958</v>
      </c>
      <c r="U151">
        <v>2023</v>
      </c>
    </row>
    <row r="152" spans="1:21" x14ac:dyDescent="0.3">
      <c r="A152" t="s">
        <v>261</v>
      </c>
      <c r="B152" t="s">
        <v>46</v>
      </c>
      <c r="C152" t="s">
        <v>47</v>
      </c>
      <c r="D152" t="s">
        <v>121</v>
      </c>
      <c r="E152" s="1">
        <v>45239</v>
      </c>
      <c r="F152" t="s">
        <v>49</v>
      </c>
      <c r="G152" t="s">
        <v>58</v>
      </c>
      <c r="H152">
        <v>4</v>
      </c>
      <c r="I152">
        <v>69890</v>
      </c>
      <c r="J152">
        <v>279560</v>
      </c>
      <c r="K152">
        <v>102435</v>
      </c>
      <c r="L152">
        <v>49616</v>
      </c>
      <c r="M152">
        <v>127509</v>
      </c>
      <c r="N152">
        <v>47</v>
      </c>
      <c r="O152" t="s">
        <v>50</v>
      </c>
      <c r="P152" t="s">
        <v>84</v>
      </c>
      <c r="Q152" s="1">
        <v>45235</v>
      </c>
      <c r="R152" s="1">
        <v>45200</v>
      </c>
      <c r="S152" t="s">
        <v>138</v>
      </c>
      <c r="T152" s="1">
        <v>45231</v>
      </c>
      <c r="U152">
        <v>2023</v>
      </c>
    </row>
    <row r="153" spans="1:21" x14ac:dyDescent="0.3">
      <c r="A153" t="s">
        <v>262</v>
      </c>
      <c r="B153" t="s">
        <v>46</v>
      </c>
      <c r="C153" t="s">
        <v>47</v>
      </c>
      <c r="D153" t="s">
        <v>135</v>
      </c>
      <c r="E153" s="1">
        <v>44930</v>
      </c>
      <c r="F153" t="s">
        <v>25</v>
      </c>
      <c r="G153" t="s">
        <v>26</v>
      </c>
      <c r="H153">
        <v>3</v>
      </c>
      <c r="I153">
        <v>64010</v>
      </c>
      <c r="J153">
        <v>192030</v>
      </c>
      <c r="K153">
        <v>85837</v>
      </c>
      <c r="L153">
        <v>24520</v>
      </c>
      <c r="M153">
        <v>81673</v>
      </c>
      <c r="N153">
        <v>15</v>
      </c>
      <c r="O153" t="s">
        <v>50</v>
      </c>
      <c r="P153" t="s">
        <v>43</v>
      </c>
      <c r="Q153" s="1">
        <v>44927</v>
      </c>
      <c r="R153" s="1">
        <v>44927</v>
      </c>
      <c r="S153" t="s">
        <v>95</v>
      </c>
      <c r="T153" s="1">
        <v>44927</v>
      </c>
      <c r="U153">
        <v>2023</v>
      </c>
    </row>
    <row r="154" spans="1:21" x14ac:dyDescent="0.3">
      <c r="A154" t="s">
        <v>263</v>
      </c>
      <c r="B154" t="s">
        <v>31</v>
      </c>
      <c r="C154" t="s">
        <v>23</v>
      </c>
      <c r="D154" t="s">
        <v>154</v>
      </c>
      <c r="E154" s="1">
        <v>45184</v>
      </c>
      <c r="F154" t="s">
        <v>40</v>
      </c>
      <c r="G154" t="s">
        <v>64</v>
      </c>
      <c r="H154">
        <v>4</v>
      </c>
      <c r="I154">
        <v>62751</v>
      </c>
      <c r="J154">
        <v>251004</v>
      </c>
      <c r="K154">
        <v>90239</v>
      </c>
      <c r="L154">
        <v>45492</v>
      </c>
      <c r="M154">
        <v>115273</v>
      </c>
      <c r="N154">
        <v>33</v>
      </c>
      <c r="O154" t="s">
        <v>61</v>
      </c>
      <c r="P154" t="s">
        <v>99</v>
      </c>
      <c r="Q154" s="1">
        <v>45179</v>
      </c>
      <c r="R154" s="1">
        <v>45108</v>
      </c>
      <c r="S154" t="s">
        <v>104</v>
      </c>
      <c r="T154" s="1">
        <v>45170</v>
      </c>
      <c r="U154">
        <v>2023</v>
      </c>
    </row>
    <row r="155" spans="1:21" x14ac:dyDescent="0.3">
      <c r="A155" t="s">
        <v>264</v>
      </c>
      <c r="B155" t="s">
        <v>31</v>
      </c>
      <c r="C155" t="s">
        <v>23</v>
      </c>
      <c r="D155" t="s">
        <v>70</v>
      </c>
      <c r="E155" s="1">
        <v>45101</v>
      </c>
      <c r="F155" t="s">
        <v>49</v>
      </c>
      <c r="G155" t="s">
        <v>64</v>
      </c>
      <c r="H155">
        <v>7</v>
      </c>
      <c r="I155">
        <v>36609</v>
      </c>
      <c r="J155">
        <v>256263</v>
      </c>
      <c r="K155">
        <v>102427</v>
      </c>
      <c r="L155">
        <v>31201</v>
      </c>
      <c r="M155">
        <v>122635</v>
      </c>
      <c r="N155">
        <v>42</v>
      </c>
      <c r="O155" t="s">
        <v>27</v>
      </c>
      <c r="P155" t="s">
        <v>67</v>
      </c>
      <c r="Q155" s="1">
        <v>45095</v>
      </c>
      <c r="R155" s="1">
        <v>45017</v>
      </c>
      <c r="S155" t="s">
        <v>35</v>
      </c>
      <c r="T155" s="1">
        <v>45078</v>
      </c>
      <c r="U155">
        <v>2023</v>
      </c>
    </row>
    <row r="156" spans="1:21" x14ac:dyDescent="0.3">
      <c r="A156" t="s">
        <v>265</v>
      </c>
      <c r="B156" t="s">
        <v>31</v>
      </c>
      <c r="C156" t="s">
        <v>23</v>
      </c>
      <c r="D156" t="s">
        <v>145</v>
      </c>
      <c r="E156" s="1">
        <v>45226</v>
      </c>
      <c r="F156" t="s">
        <v>25</v>
      </c>
      <c r="G156" t="s">
        <v>81</v>
      </c>
      <c r="H156">
        <v>3</v>
      </c>
      <c r="I156">
        <v>29705</v>
      </c>
      <c r="J156">
        <v>89115</v>
      </c>
      <c r="K156">
        <v>30834</v>
      </c>
      <c r="L156">
        <v>10272</v>
      </c>
      <c r="M156">
        <v>48009</v>
      </c>
      <c r="N156">
        <v>27</v>
      </c>
      <c r="O156" t="s">
        <v>27</v>
      </c>
      <c r="P156" t="s">
        <v>99</v>
      </c>
      <c r="Q156" s="1">
        <v>45221</v>
      </c>
      <c r="R156" s="1">
        <v>45200</v>
      </c>
      <c r="S156" t="s">
        <v>52</v>
      </c>
      <c r="T156" s="1">
        <v>45200</v>
      </c>
      <c r="U156">
        <v>2023</v>
      </c>
    </row>
    <row r="157" spans="1:21" x14ac:dyDescent="0.3">
      <c r="A157" t="s">
        <v>266</v>
      </c>
      <c r="B157" t="s">
        <v>31</v>
      </c>
      <c r="C157" t="s">
        <v>23</v>
      </c>
      <c r="D157" t="s">
        <v>205</v>
      </c>
      <c r="E157" s="1">
        <v>45139</v>
      </c>
      <c r="F157" t="s">
        <v>57</v>
      </c>
      <c r="G157" t="s">
        <v>98</v>
      </c>
      <c r="H157">
        <v>4</v>
      </c>
      <c r="I157">
        <v>47243</v>
      </c>
      <c r="J157">
        <v>188972</v>
      </c>
      <c r="K157">
        <v>104693</v>
      </c>
      <c r="L157">
        <v>29199</v>
      </c>
      <c r="M157">
        <v>55080</v>
      </c>
      <c r="N157">
        <v>43</v>
      </c>
      <c r="O157" t="s">
        <v>42</v>
      </c>
      <c r="P157" t="s">
        <v>62</v>
      </c>
      <c r="Q157" s="1">
        <v>45137</v>
      </c>
      <c r="R157" s="1">
        <v>45108</v>
      </c>
      <c r="S157" t="s">
        <v>92</v>
      </c>
      <c r="T157" s="1">
        <v>45139</v>
      </c>
      <c r="U157">
        <v>2023</v>
      </c>
    </row>
    <row r="158" spans="1:21" x14ac:dyDescent="0.3">
      <c r="A158" t="s">
        <v>267</v>
      </c>
      <c r="B158" t="s">
        <v>72</v>
      </c>
      <c r="C158" t="s">
        <v>47</v>
      </c>
      <c r="D158" t="s">
        <v>137</v>
      </c>
      <c r="E158" s="1">
        <v>45036</v>
      </c>
      <c r="F158" t="s">
        <v>49</v>
      </c>
      <c r="G158" t="s">
        <v>58</v>
      </c>
      <c r="H158">
        <v>8</v>
      </c>
      <c r="I158">
        <v>34592</v>
      </c>
      <c r="J158">
        <v>276736</v>
      </c>
      <c r="K158">
        <v>138473</v>
      </c>
      <c r="L158">
        <v>34569</v>
      </c>
      <c r="M158">
        <v>103694</v>
      </c>
      <c r="N158">
        <v>24</v>
      </c>
      <c r="O158" t="s">
        <v>27</v>
      </c>
      <c r="P158" t="s">
        <v>84</v>
      </c>
      <c r="Q158" s="1">
        <v>45032</v>
      </c>
      <c r="R158" s="1">
        <v>45017</v>
      </c>
      <c r="S158" t="s">
        <v>74</v>
      </c>
      <c r="T158" s="1">
        <v>45017</v>
      </c>
      <c r="U158">
        <v>2023</v>
      </c>
    </row>
    <row r="159" spans="1:21" x14ac:dyDescent="0.3">
      <c r="A159" t="s">
        <v>268</v>
      </c>
      <c r="B159" t="s">
        <v>46</v>
      </c>
      <c r="C159" t="s">
        <v>47</v>
      </c>
      <c r="D159" t="s">
        <v>97</v>
      </c>
      <c r="E159" s="1">
        <v>45229</v>
      </c>
      <c r="F159" t="s">
        <v>49</v>
      </c>
      <c r="G159" t="s">
        <v>33</v>
      </c>
      <c r="H159">
        <v>10</v>
      </c>
      <c r="I159">
        <v>27378</v>
      </c>
      <c r="J159">
        <v>273780</v>
      </c>
      <c r="K159">
        <v>134504</v>
      </c>
      <c r="L159">
        <v>47984</v>
      </c>
      <c r="M159">
        <v>91292</v>
      </c>
      <c r="N159">
        <v>5</v>
      </c>
      <c r="O159" t="s">
        <v>42</v>
      </c>
      <c r="P159" t="s">
        <v>51</v>
      </c>
      <c r="Q159" s="1">
        <v>45228</v>
      </c>
      <c r="R159" s="1">
        <v>45200</v>
      </c>
      <c r="S159" t="s">
        <v>52</v>
      </c>
      <c r="T159" s="1">
        <v>45200</v>
      </c>
      <c r="U159">
        <v>2023</v>
      </c>
    </row>
    <row r="160" spans="1:21" x14ac:dyDescent="0.3">
      <c r="A160" t="s">
        <v>269</v>
      </c>
      <c r="B160" t="s">
        <v>31</v>
      </c>
      <c r="C160" t="s">
        <v>23</v>
      </c>
      <c r="D160" t="s">
        <v>91</v>
      </c>
      <c r="E160" s="1">
        <v>44965</v>
      </c>
      <c r="F160" t="s">
        <v>40</v>
      </c>
      <c r="G160" t="s">
        <v>33</v>
      </c>
      <c r="H160">
        <v>3</v>
      </c>
      <c r="I160">
        <v>27022</v>
      </c>
      <c r="J160">
        <v>81066</v>
      </c>
      <c r="K160">
        <v>40038</v>
      </c>
      <c r="L160">
        <v>11839</v>
      </c>
      <c r="M160">
        <v>29189</v>
      </c>
      <c r="N160">
        <v>29</v>
      </c>
      <c r="O160" t="s">
        <v>42</v>
      </c>
      <c r="P160" t="s">
        <v>43</v>
      </c>
      <c r="Q160" s="1">
        <v>44962</v>
      </c>
      <c r="R160" s="1">
        <v>44927</v>
      </c>
      <c r="S160" t="s">
        <v>85</v>
      </c>
      <c r="T160" s="1">
        <v>44958</v>
      </c>
      <c r="U160">
        <v>2023</v>
      </c>
    </row>
    <row r="161" spans="1:21" x14ac:dyDescent="0.3">
      <c r="A161" t="s">
        <v>270</v>
      </c>
      <c r="B161" t="s">
        <v>31</v>
      </c>
      <c r="C161" t="s">
        <v>23</v>
      </c>
      <c r="D161" t="s">
        <v>106</v>
      </c>
      <c r="E161" s="1">
        <v>44934</v>
      </c>
      <c r="F161" t="s">
        <v>49</v>
      </c>
      <c r="G161" t="s">
        <v>41</v>
      </c>
      <c r="H161">
        <v>8</v>
      </c>
      <c r="I161">
        <v>63434</v>
      </c>
      <c r="J161">
        <v>507472</v>
      </c>
      <c r="K161">
        <v>207654</v>
      </c>
      <c r="L161">
        <v>68875</v>
      </c>
      <c r="M161">
        <v>230943</v>
      </c>
      <c r="N161">
        <v>14</v>
      </c>
      <c r="O161" t="s">
        <v>42</v>
      </c>
      <c r="P161" t="s">
        <v>28</v>
      </c>
      <c r="Q161" s="1">
        <v>44934</v>
      </c>
      <c r="R161" s="1">
        <v>44927</v>
      </c>
      <c r="S161" t="s">
        <v>95</v>
      </c>
      <c r="T161" s="1">
        <v>44927</v>
      </c>
      <c r="U161">
        <v>2023</v>
      </c>
    </row>
    <row r="162" spans="1:21" x14ac:dyDescent="0.3">
      <c r="A162" t="s">
        <v>271</v>
      </c>
      <c r="B162" t="s">
        <v>72</v>
      </c>
      <c r="C162" t="s">
        <v>47</v>
      </c>
      <c r="D162" t="s">
        <v>168</v>
      </c>
      <c r="E162" s="1">
        <v>44962</v>
      </c>
      <c r="F162" t="s">
        <v>25</v>
      </c>
      <c r="G162" t="s">
        <v>81</v>
      </c>
      <c r="H162">
        <v>10</v>
      </c>
      <c r="I162">
        <v>45331</v>
      </c>
      <c r="J162">
        <v>453310</v>
      </c>
      <c r="K162">
        <v>242515</v>
      </c>
      <c r="L162">
        <v>49377</v>
      </c>
      <c r="M162">
        <v>161418</v>
      </c>
      <c r="N162">
        <v>35</v>
      </c>
      <c r="O162" t="s">
        <v>42</v>
      </c>
      <c r="P162" t="s">
        <v>28</v>
      </c>
      <c r="Q162" s="1">
        <v>44962</v>
      </c>
      <c r="R162" s="1">
        <v>44927</v>
      </c>
      <c r="S162" t="s">
        <v>85</v>
      </c>
      <c r="T162" s="1">
        <v>44958</v>
      </c>
      <c r="U162">
        <v>2023</v>
      </c>
    </row>
    <row r="163" spans="1:21" x14ac:dyDescent="0.3">
      <c r="A163" t="s">
        <v>272</v>
      </c>
      <c r="B163" t="s">
        <v>37</v>
      </c>
      <c r="C163" t="s">
        <v>38</v>
      </c>
      <c r="D163" t="s">
        <v>101</v>
      </c>
      <c r="E163" s="1">
        <v>44935</v>
      </c>
      <c r="F163" t="s">
        <v>57</v>
      </c>
      <c r="G163" t="s">
        <v>81</v>
      </c>
      <c r="H163">
        <v>2</v>
      </c>
      <c r="I163">
        <v>13838</v>
      </c>
      <c r="J163">
        <v>27676</v>
      </c>
      <c r="K163">
        <v>13812</v>
      </c>
      <c r="L163">
        <v>3204</v>
      </c>
      <c r="M163">
        <v>10660</v>
      </c>
      <c r="N163">
        <v>26</v>
      </c>
      <c r="O163" t="s">
        <v>34</v>
      </c>
      <c r="P163" t="s">
        <v>51</v>
      </c>
      <c r="Q163" s="1">
        <v>44934</v>
      </c>
      <c r="R163" s="1">
        <v>44927</v>
      </c>
      <c r="S163" t="s">
        <v>95</v>
      </c>
      <c r="T163" s="1">
        <v>44927</v>
      </c>
      <c r="U163">
        <v>2023</v>
      </c>
    </row>
    <row r="164" spans="1:21" x14ac:dyDescent="0.3">
      <c r="A164" t="s">
        <v>273</v>
      </c>
      <c r="B164" t="s">
        <v>31</v>
      </c>
      <c r="C164" t="s">
        <v>23</v>
      </c>
      <c r="D164" t="s">
        <v>119</v>
      </c>
      <c r="E164" s="1">
        <v>45034</v>
      </c>
      <c r="F164" t="s">
        <v>25</v>
      </c>
      <c r="G164" t="s">
        <v>81</v>
      </c>
      <c r="H164">
        <v>6</v>
      </c>
      <c r="I164">
        <v>25059</v>
      </c>
      <c r="J164">
        <v>150354</v>
      </c>
      <c r="K164">
        <v>88014</v>
      </c>
      <c r="L164">
        <v>24335</v>
      </c>
      <c r="M164">
        <v>38005</v>
      </c>
      <c r="N164">
        <v>33</v>
      </c>
      <c r="O164" t="s">
        <v>27</v>
      </c>
      <c r="P164" t="s">
        <v>62</v>
      </c>
      <c r="Q164" s="1">
        <v>45032</v>
      </c>
      <c r="R164" s="1">
        <v>45017</v>
      </c>
      <c r="S164" t="s">
        <v>74</v>
      </c>
      <c r="T164" s="1">
        <v>45017</v>
      </c>
      <c r="U164">
        <v>2023</v>
      </c>
    </row>
    <row r="165" spans="1:21" x14ac:dyDescent="0.3">
      <c r="A165" t="s">
        <v>274</v>
      </c>
      <c r="B165" t="s">
        <v>31</v>
      </c>
      <c r="C165" t="s">
        <v>23</v>
      </c>
      <c r="D165" t="s">
        <v>73</v>
      </c>
      <c r="E165" s="1">
        <v>44932</v>
      </c>
      <c r="F165" t="s">
        <v>40</v>
      </c>
      <c r="G165" t="s">
        <v>98</v>
      </c>
      <c r="H165">
        <v>7</v>
      </c>
      <c r="I165">
        <v>48936</v>
      </c>
      <c r="J165">
        <v>342552</v>
      </c>
      <c r="K165">
        <v>154686</v>
      </c>
      <c r="L165">
        <v>54502</v>
      </c>
      <c r="M165">
        <v>133364</v>
      </c>
      <c r="N165">
        <v>49</v>
      </c>
      <c r="O165" t="s">
        <v>50</v>
      </c>
      <c r="P165" t="s">
        <v>99</v>
      </c>
      <c r="Q165" s="1">
        <v>44927</v>
      </c>
      <c r="R165" s="1">
        <v>44927</v>
      </c>
      <c r="S165" t="s">
        <v>95</v>
      </c>
      <c r="T165" s="1">
        <v>44927</v>
      </c>
      <c r="U165">
        <v>2023</v>
      </c>
    </row>
    <row r="166" spans="1:21" x14ac:dyDescent="0.3">
      <c r="A166" t="s">
        <v>275</v>
      </c>
      <c r="B166" t="s">
        <v>31</v>
      </c>
      <c r="C166" t="s">
        <v>23</v>
      </c>
      <c r="D166" t="s">
        <v>148</v>
      </c>
      <c r="E166" s="1">
        <v>44944</v>
      </c>
      <c r="F166" t="s">
        <v>49</v>
      </c>
      <c r="G166" t="s">
        <v>98</v>
      </c>
      <c r="H166">
        <v>8</v>
      </c>
      <c r="I166">
        <v>14073</v>
      </c>
      <c r="J166">
        <v>112584</v>
      </c>
      <c r="K166">
        <v>49913</v>
      </c>
      <c r="L166">
        <v>13917</v>
      </c>
      <c r="M166">
        <v>48754</v>
      </c>
      <c r="N166">
        <v>17</v>
      </c>
      <c r="O166" t="s">
        <v>34</v>
      </c>
      <c r="P166" t="s">
        <v>43</v>
      </c>
      <c r="Q166" s="1">
        <v>44941</v>
      </c>
      <c r="R166" s="1">
        <v>44927</v>
      </c>
      <c r="S166" t="s">
        <v>95</v>
      </c>
      <c r="T166" s="1">
        <v>44927</v>
      </c>
      <c r="U166">
        <v>2023</v>
      </c>
    </row>
    <row r="167" spans="1:21" x14ac:dyDescent="0.3">
      <c r="A167" t="s">
        <v>276</v>
      </c>
      <c r="B167" t="s">
        <v>46</v>
      </c>
      <c r="C167" t="s">
        <v>47</v>
      </c>
      <c r="D167" t="s">
        <v>66</v>
      </c>
      <c r="E167" s="1">
        <v>45067</v>
      </c>
      <c r="F167" t="s">
        <v>49</v>
      </c>
      <c r="G167" t="s">
        <v>33</v>
      </c>
      <c r="H167">
        <v>5</v>
      </c>
      <c r="I167">
        <v>3877</v>
      </c>
      <c r="J167">
        <v>19385</v>
      </c>
      <c r="K167">
        <v>11024</v>
      </c>
      <c r="L167">
        <v>2925</v>
      </c>
      <c r="M167">
        <v>5436</v>
      </c>
      <c r="N167">
        <v>11</v>
      </c>
      <c r="O167" t="s">
        <v>27</v>
      </c>
      <c r="P167" t="s">
        <v>28</v>
      </c>
      <c r="Q167" s="1">
        <v>45067</v>
      </c>
      <c r="R167" s="1">
        <v>45017</v>
      </c>
      <c r="S167" t="s">
        <v>68</v>
      </c>
      <c r="T167" s="1">
        <v>45047</v>
      </c>
      <c r="U167">
        <v>2023</v>
      </c>
    </row>
    <row r="168" spans="1:21" x14ac:dyDescent="0.3">
      <c r="A168" t="s">
        <v>277</v>
      </c>
      <c r="B168" t="s">
        <v>72</v>
      </c>
      <c r="C168" t="s">
        <v>47</v>
      </c>
      <c r="D168" t="s">
        <v>76</v>
      </c>
      <c r="E168" s="1">
        <v>45025</v>
      </c>
      <c r="F168" t="s">
        <v>57</v>
      </c>
      <c r="G168" t="s">
        <v>41</v>
      </c>
      <c r="H168">
        <v>10</v>
      </c>
      <c r="I168">
        <v>23643</v>
      </c>
      <c r="J168">
        <v>236430</v>
      </c>
      <c r="K168">
        <v>104508</v>
      </c>
      <c r="L168">
        <v>46752</v>
      </c>
      <c r="M168">
        <v>85170</v>
      </c>
      <c r="N168">
        <v>28</v>
      </c>
      <c r="O168" t="s">
        <v>42</v>
      </c>
      <c r="P168" t="s">
        <v>28</v>
      </c>
      <c r="Q168" s="1">
        <v>45025</v>
      </c>
      <c r="R168" s="1">
        <v>45017</v>
      </c>
      <c r="S168" t="s">
        <v>74</v>
      </c>
      <c r="T168" s="1">
        <v>45017</v>
      </c>
      <c r="U168">
        <v>2023</v>
      </c>
    </row>
    <row r="169" spans="1:21" x14ac:dyDescent="0.3">
      <c r="A169" t="s">
        <v>278</v>
      </c>
      <c r="B169" t="s">
        <v>46</v>
      </c>
      <c r="C169" t="s">
        <v>47</v>
      </c>
      <c r="D169" t="s">
        <v>80</v>
      </c>
      <c r="E169" s="1">
        <v>45043</v>
      </c>
      <c r="F169" t="s">
        <v>40</v>
      </c>
      <c r="G169" t="s">
        <v>81</v>
      </c>
      <c r="H169">
        <v>5</v>
      </c>
      <c r="I169">
        <v>47949</v>
      </c>
      <c r="J169">
        <v>239745</v>
      </c>
      <c r="K169">
        <v>85286</v>
      </c>
      <c r="L169">
        <v>42713</v>
      </c>
      <c r="M169">
        <v>111746</v>
      </c>
      <c r="N169">
        <v>46</v>
      </c>
      <c r="O169" t="s">
        <v>50</v>
      </c>
      <c r="P169" t="s">
        <v>84</v>
      </c>
      <c r="Q169" s="1">
        <v>45039</v>
      </c>
      <c r="R169" s="1">
        <v>45017</v>
      </c>
      <c r="S169" t="s">
        <v>74</v>
      </c>
      <c r="T169" s="1">
        <v>45017</v>
      </c>
      <c r="U169">
        <v>2023</v>
      </c>
    </row>
    <row r="170" spans="1:21" x14ac:dyDescent="0.3">
      <c r="A170" t="s">
        <v>279</v>
      </c>
      <c r="B170" t="s">
        <v>31</v>
      </c>
      <c r="C170" t="s">
        <v>23</v>
      </c>
      <c r="D170" t="s">
        <v>56</v>
      </c>
      <c r="E170" s="1">
        <v>45125</v>
      </c>
      <c r="F170" t="s">
        <v>57</v>
      </c>
      <c r="G170" t="s">
        <v>81</v>
      </c>
      <c r="H170">
        <v>1</v>
      </c>
      <c r="I170">
        <v>6845</v>
      </c>
      <c r="J170">
        <v>6845</v>
      </c>
      <c r="K170">
        <v>2119</v>
      </c>
      <c r="L170">
        <v>859</v>
      </c>
      <c r="M170">
        <v>3867</v>
      </c>
      <c r="N170">
        <v>43</v>
      </c>
      <c r="O170" t="s">
        <v>61</v>
      </c>
      <c r="P170" t="s">
        <v>62</v>
      </c>
      <c r="Q170" s="1">
        <v>45123</v>
      </c>
      <c r="R170" s="1">
        <v>45108</v>
      </c>
      <c r="S170" t="s">
        <v>29</v>
      </c>
      <c r="T170" s="1">
        <v>45108</v>
      </c>
      <c r="U170">
        <v>2023</v>
      </c>
    </row>
    <row r="171" spans="1:21" x14ac:dyDescent="0.3">
      <c r="A171" t="s">
        <v>280</v>
      </c>
      <c r="B171" t="s">
        <v>37</v>
      </c>
      <c r="C171" t="s">
        <v>38</v>
      </c>
      <c r="D171" t="s">
        <v>145</v>
      </c>
      <c r="E171" s="1">
        <v>45068</v>
      </c>
      <c r="F171" t="s">
        <v>40</v>
      </c>
      <c r="G171" t="s">
        <v>33</v>
      </c>
      <c r="H171">
        <v>2</v>
      </c>
      <c r="I171">
        <v>36442</v>
      </c>
      <c r="J171">
        <v>72884</v>
      </c>
      <c r="K171">
        <v>35644</v>
      </c>
      <c r="L171">
        <v>14384</v>
      </c>
      <c r="M171">
        <v>22856</v>
      </c>
      <c r="N171">
        <v>38</v>
      </c>
      <c r="O171" t="s">
        <v>50</v>
      </c>
      <c r="P171" t="s">
        <v>51</v>
      </c>
      <c r="Q171" s="1">
        <v>45067</v>
      </c>
      <c r="R171" s="1">
        <v>45017</v>
      </c>
      <c r="S171" t="s">
        <v>68</v>
      </c>
      <c r="T171" s="1">
        <v>45047</v>
      </c>
      <c r="U171">
        <v>2023</v>
      </c>
    </row>
    <row r="172" spans="1:21" x14ac:dyDescent="0.3">
      <c r="A172" t="s">
        <v>281</v>
      </c>
      <c r="B172" t="s">
        <v>31</v>
      </c>
      <c r="C172" t="s">
        <v>23</v>
      </c>
      <c r="D172" t="s">
        <v>152</v>
      </c>
      <c r="E172" s="1">
        <v>45230</v>
      </c>
      <c r="F172" t="s">
        <v>57</v>
      </c>
      <c r="G172" t="s">
        <v>33</v>
      </c>
      <c r="H172">
        <v>10</v>
      </c>
      <c r="I172">
        <v>19654</v>
      </c>
      <c r="J172">
        <v>196540</v>
      </c>
      <c r="K172">
        <v>117647</v>
      </c>
      <c r="L172">
        <v>38501</v>
      </c>
      <c r="M172">
        <v>40392</v>
      </c>
      <c r="N172">
        <v>10</v>
      </c>
      <c r="O172" t="s">
        <v>61</v>
      </c>
      <c r="P172" t="s">
        <v>62</v>
      </c>
      <c r="Q172" s="1">
        <v>45228</v>
      </c>
      <c r="R172" s="1">
        <v>45200</v>
      </c>
      <c r="S172" t="s">
        <v>52</v>
      </c>
      <c r="T172" s="1">
        <v>45200</v>
      </c>
      <c r="U172">
        <v>2023</v>
      </c>
    </row>
    <row r="173" spans="1:21" x14ac:dyDescent="0.3">
      <c r="A173" t="s">
        <v>282</v>
      </c>
      <c r="B173" t="s">
        <v>22</v>
      </c>
      <c r="C173" t="s">
        <v>23</v>
      </c>
      <c r="D173" t="s">
        <v>89</v>
      </c>
      <c r="E173" s="1">
        <v>45123</v>
      </c>
      <c r="F173" t="s">
        <v>57</v>
      </c>
      <c r="G173" t="s">
        <v>98</v>
      </c>
      <c r="H173">
        <v>2</v>
      </c>
      <c r="I173">
        <v>28574</v>
      </c>
      <c r="J173">
        <v>57148</v>
      </c>
      <c r="K173">
        <v>33558</v>
      </c>
      <c r="L173">
        <v>11287</v>
      </c>
      <c r="M173">
        <v>12303</v>
      </c>
      <c r="N173">
        <v>48</v>
      </c>
      <c r="O173" t="s">
        <v>42</v>
      </c>
      <c r="P173" t="s">
        <v>28</v>
      </c>
      <c r="Q173" s="1">
        <v>45123</v>
      </c>
      <c r="R173" s="1">
        <v>45108</v>
      </c>
      <c r="S173" t="s">
        <v>29</v>
      </c>
      <c r="T173" s="1">
        <v>45108</v>
      </c>
      <c r="U173">
        <v>2023</v>
      </c>
    </row>
    <row r="174" spans="1:21" x14ac:dyDescent="0.3">
      <c r="A174" t="s">
        <v>283</v>
      </c>
      <c r="B174" t="s">
        <v>31</v>
      </c>
      <c r="C174" t="s">
        <v>23</v>
      </c>
      <c r="D174" t="s">
        <v>111</v>
      </c>
      <c r="E174" s="1">
        <v>45063</v>
      </c>
      <c r="F174" t="s">
        <v>57</v>
      </c>
      <c r="G174" t="s">
        <v>64</v>
      </c>
      <c r="H174">
        <v>4</v>
      </c>
      <c r="I174">
        <v>5250</v>
      </c>
      <c r="J174">
        <v>21000</v>
      </c>
      <c r="K174">
        <v>6658</v>
      </c>
      <c r="L174">
        <v>2639</v>
      </c>
      <c r="M174">
        <v>11703</v>
      </c>
      <c r="N174">
        <v>13</v>
      </c>
      <c r="O174" t="s">
        <v>34</v>
      </c>
      <c r="P174" t="s">
        <v>43</v>
      </c>
      <c r="Q174" s="1">
        <v>45060</v>
      </c>
      <c r="R174" s="1">
        <v>45017</v>
      </c>
      <c r="S174" t="s">
        <v>68</v>
      </c>
      <c r="T174" s="1">
        <v>45047</v>
      </c>
      <c r="U174">
        <v>2023</v>
      </c>
    </row>
    <row r="175" spans="1:21" x14ac:dyDescent="0.3">
      <c r="A175" t="s">
        <v>284</v>
      </c>
      <c r="B175" t="s">
        <v>31</v>
      </c>
      <c r="C175" t="s">
        <v>23</v>
      </c>
      <c r="D175" t="s">
        <v>174</v>
      </c>
      <c r="E175" s="1">
        <v>45248</v>
      </c>
      <c r="F175" t="s">
        <v>57</v>
      </c>
      <c r="G175" t="s">
        <v>81</v>
      </c>
      <c r="H175">
        <v>3</v>
      </c>
      <c r="I175">
        <v>16644</v>
      </c>
      <c r="J175">
        <v>49932</v>
      </c>
      <c r="K175">
        <v>18630</v>
      </c>
      <c r="L175">
        <v>6726</v>
      </c>
      <c r="M175">
        <v>24576</v>
      </c>
      <c r="N175">
        <v>27</v>
      </c>
      <c r="O175" t="s">
        <v>42</v>
      </c>
      <c r="P175" t="s">
        <v>67</v>
      </c>
      <c r="Q175" s="1">
        <v>45242</v>
      </c>
      <c r="R175" s="1">
        <v>45200</v>
      </c>
      <c r="S175" t="s">
        <v>138</v>
      </c>
      <c r="T175" s="1">
        <v>45231</v>
      </c>
      <c r="U175">
        <v>2023</v>
      </c>
    </row>
    <row r="176" spans="1:21" x14ac:dyDescent="0.3">
      <c r="A176" t="s">
        <v>285</v>
      </c>
      <c r="B176" t="s">
        <v>22</v>
      </c>
      <c r="C176" t="s">
        <v>23</v>
      </c>
      <c r="D176" t="s">
        <v>128</v>
      </c>
      <c r="E176" s="1">
        <v>45041</v>
      </c>
      <c r="F176" t="s">
        <v>25</v>
      </c>
      <c r="G176" t="s">
        <v>58</v>
      </c>
      <c r="H176">
        <v>5</v>
      </c>
      <c r="I176">
        <v>53830</v>
      </c>
      <c r="J176">
        <v>269150</v>
      </c>
      <c r="K176">
        <v>137928</v>
      </c>
      <c r="L176">
        <v>49164</v>
      </c>
      <c r="M176">
        <v>82058</v>
      </c>
      <c r="N176">
        <v>19</v>
      </c>
      <c r="O176" t="s">
        <v>61</v>
      </c>
      <c r="P176" t="s">
        <v>62</v>
      </c>
      <c r="Q176" s="1">
        <v>45039</v>
      </c>
      <c r="R176" s="1">
        <v>45017</v>
      </c>
      <c r="S176" t="s">
        <v>74</v>
      </c>
      <c r="T176" s="1">
        <v>45017</v>
      </c>
      <c r="U176">
        <v>2023</v>
      </c>
    </row>
    <row r="177" spans="1:21" x14ac:dyDescent="0.3">
      <c r="A177" t="s">
        <v>286</v>
      </c>
      <c r="B177" t="s">
        <v>31</v>
      </c>
      <c r="C177" t="s">
        <v>23</v>
      </c>
      <c r="D177" t="s">
        <v>87</v>
      </c>
      <c r="E177" s="1">
        <v>45175</v>
      </c>
      <c r="F177" t="s">
        <v>49</v>
      </c>
      <c r="G177" t="s">
        <v>58</v>
      </c>
      <c r="H177">
        <v>6</v>
      </c>
      <c r="I177">
        <v>21620</v>
      </c>
      <c r="J177">
        <v>129720</v>
      </c>
      <c r="K177">
        <v>70678</v>
      </c>
      <c r="L177">
        <v>23343</v>
      </c>
      <c r="M177">
        <v>35699</v>
      </c>
      <c r="N177">
        <v>24</v>
      </c>
      <c r="O177" t="s">
        <v>27</v>
      </c>
      <c r="P177" t="s">
        <v>43</v>
      </c>
      <c r="Q177" s="1">
        <v>45172</v>
      </c>
      <c r="R177" s="1">
        <v>45108</v>
      </c>
      <c r="S177" t="s">
        <v>104</v>
      </c>
      <c r="T177" s="1">
        <v>45170</v>
      </c>
      <c r="U177">
        <v>2023</v>
      </c>
    </row>
    <row r="178" spans="1:21" x14ac:dyDescent="0.3">
      <c r="A178" t="s">
        <v>287</v>
      </c>
      <c r="B178" t="s">
        <v>31</v>
      </c>
      <c r="C178" t="s">
        <v>23</v>
      </c>
      <c r="D178" t="s">
        <v>91</v>
      </c>
      <c r="E178" s="1">
        <v>45068</v>
      </c>
      <c r="F178" t="s">
        <v>40</v>
      </c>
      <c r="G178" t="s">
        <v>58</v>
      </c>
      <c r="H178">
        <v>2</v>
      </c>
      <c r="I178">
        <v>8605</v>
      </c>
      <c r="J178">
        <v>17210</v>
      </c>
      <c r="K178">
        <v>8063</v>
      </c>
      <c r="L178">
        <v>2191</v>
      </c>
      <c r="M178">
        <v>6956</v>
      </c>
      <c r="N178">
        <v>18</v>
      </c>
      <c r="O178" t="s">
        <v>61</v>
      </c>
      <c r="P178" t="s">
        <v>51</v>
      </c>
      <c r="Q178" s="1">
        <v>45067</v>
      </c>
      <c r="R178" s="1">
        <v>45017</v>
      </c>
      <c r="S178" t="s">
        <v>68</v>
      </c>
      <c r="T178" s="1">
        <v>45047</v>
      </c>
      <c r="U178">
        <v>2023</v>
      </c>
    </row>
    <row r="179" spans="1:21" x14ac:dyDescent="0.3">
      <c r="A179" t="s">
        <v>288</v>
      </c>
      <c r="B179" t="s">
        <v>46</v>
      </c>
      <c r="C179" t="s">
        <v>47</v>
      </c>
      <c r="D179" t="s">
        <v>135</v>
      </c>
      <c r="E179" s="1">
        <v>45221</v>
      </c>
      <c r="F179" t="s">
        <v>57</v>
      </c>
      <c r="G179" t="s">
        <v>81</v>
      </c>
      <c r="H179">
        <v>5</v>
      </c>
      <c r="I179">
        <v>41982</v>
      </c>
      <c r="J179">
        <v>209910</v>
      </c>
      <c r="K179">
        <v>88208</v>
      </c>
      <c r="L179">
        <v>27307</v>
      </c>
      <c r="M179">
        <v>94395</v>
      </c>
      <c r="N179">
        <v>47</v>
      </c>
      <c r="O179" t="s">
        <v>34</v>
      </c>
      <c r="P179" t="s">
        <v>28</v>
      </c>
      <c r="Q179" s="1">
        <v>45221</v>
      </c>
      <c r="R179" s="1">
        <v>45200</v>
      </c>
      <c r="S179" t="s">
        <v>52</v>
      </c>
      <c r="T179" s="1">
        <v>45200</v>
      </c>
      <c r="U179">
        <v>2023</v>
      </c>
    </row>
    <row r="180" spans="1:21" x14ac:dyDescent="0.3">
      <c r="A180" t="s">
        <v>289</v>
      </c>
      <c r="B180" t="s">
        <v>31</v>
      </c>
      <c r="C180" t="s">
        <v>23</v>
      </c>
      <c r="D180" t="s">
        <v>188</v>
      </c>
      <c r="E180" s="1">
        <v>45248</v>
      </c>
      <c r="F180" t="s">
        <v>25</v>
      </c>
      <c r="G180" t="s">
        <v>64</v>
      </c>
      <c r="H180">
        <v>4</v>
      </c>
      <c r="I180">
        <v>67405</v>
      </c>
      <c r="J180">
        <v>269620</v>
      </c>
      <c r="K180">
        <v>115906</v>
      </c>
      <c r="L180">
        <v>48265</v>
      </c>
      <c r="M180">
        <v>105449</v>
      </c>
      <c r="N180">
        <v>44</v>
      </c>
      <c r="O180" t="s">
        <v>50</v>
      </c>
      <c r="P180" t="s">
        <v>67</v>
      </c>
      <c r="Q180" s="1">
        <v>45242</v>
      </c>
      <c r="R180" s="1">
        <v>45200</v>
      </c>
      <c r="S180" t="s">
        <v>138</v>
      </c>
      <c r="T180" s="1">
        <v>45231</v>
      </c>
      <c r="U180">
        <v>2023</v>
      </c>
    </row>
    <row r="181" spans="1:21" x14ac:dyDescent="0.3">
      <c r="A181" t="s">
        <v>290</v>
      </c>
      <c r="B181" t="s">
        <v>46</v>
      </c>
      <c r="C181" t="s">
        <v>47</v>
      </c>
      <c r="D181" t="s">
        <v>24</v>
      </c>
      <c r="E181" s="1">
        <v>44948</v>
      </c>
      <c r="F181" t="s">
        <v>25</v>
      </c>
      <c r="G181" t="s">
        <v>41</v>
      </c>
      <c r="H181">
        <v>5</v>
      </c>
      <c r="I181">
        <v>5832</v>
      </c>
      <c r="J181">
        <v>29160</v>
      </c>
      <c r="K181">
        <v>10449</v>
      </c>
      <c r="L181">
        <v>4613</v>
      </c>
      <c r="M181">
        <v>14098</v>
      </c>
      <c r="N181">
        <v>46</v>
      </c>
      <c r="O181" t="s">
        <v>50</v>
      </c>
      <c r="P181" t="s">
        <v>28</v>
      </c>
      <c r="Q181" s="1">
        <v>44948</v>
      </c>
      <c r="R181" s="1">
        <v>44927</v>
      </c>
      <c r="S181" t="s">
        <v>95</v>
      </c>
      <c r="T181" s="1">
        <v>44927</v>
      </c>
      <c r="U181">
        <v>2023</v>
      </c>
    </row>
    <row r="182" spans="1:21" x14ac:dyDescent="0.3">
      <c r="A182" t="s">
        <v>291</v>
      </c>
      <c r="B182" t="s">
        <v>46</v>
      </c>
      <c r="C182" t="s">
        <v>47</v>
      </c>
      <c r="D182" t="s">
        <v>221</v>
      </c>
      <c r="E182" s="1">
        <v>44972</v>
      </c>
      <c r="F182" t="s">
        <v>57</v>
      </c>
      <c r="G182" t="s">
        <v>98</v>
      </c>
      <c r="H182">
        <v>9</v>
      </c>
      <c r="I182">
        <v>45837</v>
      </c>
      <c r="J182">
        <v>412533</v>
      </c>
      <c r="K182">
        <v>203267</v>
      </c>
      <c r="L182">
        <v>52531</v>
      </c>
      <c r="M182">
        <v>156735</v>
      </c>
      <c r="N182">
        <v>32</v>
      </c>
      <c r="O182" t="s">
        <v>50</v>
      </c>
      <c r="P182" t="s">
        <v>43</v>
      </c>
      <c r="Q182" s="1">
        <v>44969</v>
      </c>
      <c r="R182" s="1">
        <v>44927</v>
      </c>
      <c r="S182" t="s">
        <v>85</v>
      </c>
      <c r="T182" s="1">
        <v>44958</v>
      </c>
      <c r="U182">
        <v>2023</v>
      </c>
    </row>
    <row r="183" spans="1:21" x14ac:dyDescent="0.3">
      <c r="A183" t="s">
        <v>292</v>
      </c>
      <c r="B183" t="s">
        <v>72</v>
      </c>
      <c r="C183" t="s">
        <v>47</v>
      </c>
      <c r="D183" t="s">
        <v>32</v>
      </c>
      <c r="E183" s="1">
        <v>44949</v>
      </c>
      <c r="F183" t="s">
        <v>40</v>
      </c>
      <c r="G183" t="s">
        <v>98</v>
      </c>
      <c r="H183">
        <v>2</v>
      </c>
      <c r="I183">
        <v>56582</v>
      </c>
      <c r="J183">
        <v>113164</v>
      </c>
      <c r="K183">
        <v>61583</v>
      </c>
      <c r="L183">
        <v>16981</v>
      </c>
      <c r="M183">
        <v>34600</v>
      </c>
      <c r="N183">
        <v>29</v>
      </c>
      <c r="O183" t="s">
        <v>50</v>
      </c>
      <c r="P183" t="s">
        <v>51</v>
      </c>
      <c r="Q183" s="1">
        <v>44948</v>
      </c>
      <c r="R183" s="1">
        <v>44927</v>
      </c>
      <c r="S183" t="s">
        <v>95</v>
      </c>
      <c r="T183" s="1">
        <v>44927</v>
      </c>
      <c r="U183">
        <v>2023</v>
      </c>
    </row>
    <row r="184" spans="1:21" x14ac:dyDescent="0.3">
      <c r="A184" t="s">
        <v>293</v>
      </c>
      <c r="B184" t="s">
        <v>46</v>
      </c>
      <c r="C184" t="s">
        <v>47</v>
      </c>
      <c r="D184" t="s">
        <v>221</v>
      </c>
      <c r="E184" s="1">
        <v>45119</v>
      </c>
      <c r="F184" t="s">
        <v>25</v>
      </c>
      <c r="G184" t="s">
        <v>41</v>
      </c>
      <c r="H184">
        <v>5</v>
      </c>
      <c r="I184">
        <v>9374</v>
      </c>
      <c r="J184">
        <v>46870</v>
      </c>
      <c r="K184">
        <v>27671</v>
      </c>
      <c r="L184">
        <v>6168</v>
      </c>
      <c r="M184">
        <v>13031</v>
      </c>
      <c r="N184">
        <v>2</v>
      </c>
      <c r="O184" t="s">
        <v>50</v>
      </c>
      <c r="P184" t="s">
        <v>43</v>
      </c>
      <c r="Q184" s="1">
        <v>45116</v>
      </c>
      <c r="R184" s="1">
        <v>45108</v>
      </c>
      <c r="S184" t="s">
        <v>29</v>
      </c>
      <c r="T184" s="1">
        <v>45108</v>
      </c>
      <c r="U184">
        <v>2023</v>
      </c>
    </row>
    <row r="185" spans="1:21" x14ac:dyDescent="0.3">
      <c r="A185" t="s">
        <v>294</v>
      </c>
      <c r="B185" t="s">
        <v>37</v>
      </c>
      <c r="C185" t="s">
        <v>38</v>
      </c>
      <c r="D185" t="s">
        <v>83</v>
      </c>
      <c r="E185" s="1">
        <v>45113</v>
      </c>
      <c r="F185" t="s">
        <v>57</v>
      </c>
      <c r="G185" t="s">
        <v>33</v>
      </c>
      <c r="H185">
        <v>4</v>
      </c>
      <c r="I185">
        <v>53742</v>
      </c>
      <c r="J185">
        <v>214968</v>
      </c>
      <c r="K185">
        <v>106112</v>
      </c>
      <c r="L185">
        <v>30842</v>
      </c>
      <c r="M185">
        <v>78014</v>
      </c>
      <c r="N185">
        <v>19</v>
      </c>
      <c r="O185" t="s">
        <v>50</v>
      </c>
      <c r="P185" t="s">
        <v>84</v>
      </c>
      <c r="Q185" s="1">
        <v>45109</v>
      </c>
      <c r="R185" s="1">
        <v>45108</v>
      </c>
      <c r="S185" t="s">
        <v>29</v>
      </c>
      <c r="T185" s="1">
        <v>45108</v>
      </c>
      <c r="U185">
        <v>2023</v>
      </c>
    </row>
    <row r="186" spans="1:21" x14ac:dyDescent="0.3">
      <c r="A186" t="s">
        <v>295</v>
      </c>
      <c r="B186" t="s">
        <v>31</v>
      </c>
      <c r="C186" t="s">
        <v>23</v>
      </c>
      <c r="D186" t="s">
        <v>133</v>
      </c>
      <c r="E186" s="1">
        <v>45226</v>
      </c>
      <c r="F186" t="s">
        <v>57</v>
      </c>
      <c r="G186" t="s">
        <v>64</v>
      </c>
      <c r="H186">
        <v>10</v>
      </c>
      <c r="I186">
        <v>20030</v>
      </c>
      <c r="J186">
        <v>200300</v>
      </c>
      <c r="K186">
        <v>118902</v>
      </c>
      <c r="L186">
        <v>25311</v>
      </c>
      <c r="M186">
        <v>56087</v>
      </c>
      <c r="N186">
        <v>13</v>
      </c>
      <c r="O186" t="s">
        <v>34</v>
      </c>
      <c r="P186" t="s">
        <v>99</v>
      </c>
      <c r="Q186" s="1">
        <v>45221</v>
      </c>
      <c r="R186" s="1">
        <v>45200</v>
      </c>
      <c r="S186" t="s">
        <v>52</v>
      </c>
      <c r="T186" s="1">
        <v>45200</v>
      </c>
      <c r="U186">
        <v>2023</v>
      </c>
    </row>
    <row r="187" spans="1:21" x14ac:dyDescent="0.3">
      <c r="A187" t="s">
        <v>296</v>
      </c>
      <c r="B187" t="s">
        <v>37</v>
      </c>
      <c r="C187" t="s">
        <v>38</v>
      </c>
      <c r="D187" t="s">
        <v>54</v>
      </c>
      <c r="E187" s="1">
        <v>45207</v>
      </c>
      <c r="F187" t="s">
        <v>40</v>
      </c>
      <c r="G187" t="s">
        <v>41</v>
      </c>
      <c r="H187">
        <v>6</v>
      </c>
      <c r="I187">
        <v>29744</v>
      </c>
      <c r="J187">
        <v>178464</v>
      </c>
      <c r="K187">
        <v>91181</v>
      </c>
      <c r="L187">
        <v>28354</v>
      </c>
      <c r="M187">
        <v>58929</v>
      </c>
      <c r="N187">
        <v>5</v>
      </c>
      <c r="O187" t="s">
        <v>50</v>
      </c>
      <c r="P187" t="s">
        <v>28</v>
      </c>
      <c r="Q187" s="1">
        <v>45207</v>
      </c>
      <c r="R187" s="1">
        <v>45200</v>
      </c>
      <c r="S187" t="s">
        <v>52</v>
      </c>
      <c r="T187" s="1">
        <v>45200</v>
      </c>
      <c r="U187">
        <v>2023</v>
      </c>
    </row>
    <row r="188" spans="1:21" x14ac:dyDescent="0.3">
      <c r="A188" t="s">
        <v>297</v>
      </c>
      <c r="B188" t="s">
        <v>31</v>
      </c>
      <c r="C188" t="s">
        <v>23</v>
      </c>
      <c r="D188" t="s">
        <v>135</v>
      </c>
      <c r="E188" s="1">
        <v>44948</v>
      </c>
      <c r="F188" t="s">
        <v>40</v>
      </c>
      <c r="G188" t="s">
        <v>41</v>
      </c>
      <c r="H188">
        <v>9</v>
      </c>
      <c r="I188">
        <v>44027</v>
      </c>
      <c r="J188">
        <v>396243</v>
      </c>
      <c r="K188">
        <v>143926</v>
      </c>
      <c r="L188">
        <v>63319</v>
      </c>
      <c r="M188">
        <v>188998</v>
      </c>
      <c r="N188">
        <v>1</v>
      </c>
      <c r="O188" t="s">
        <v>27</v>
      </c>
      <c r="P188" t="s">
        <v>28</v>
      </c>
      <c r="Q188" s="1">
        <v>44948</v>
      </c>
      <c r="R188" s="1">
        <v>44927</v>
      </c>
      <c r="S188" t="s">
        <v>95</v>
      </c>
      <c r="T188" s="1">
        <v>44927</v>
      </c>
      <c r="U188">
        <v>2023</v>
      </c>
    </row>
    <row r="189" spans="1:21" x14ac:dyDescent="0.3">
      <c r="A189" t="s">
        <v>298</v>
      </c>
      <c r="B189" t="s">
        <v>72</v>
      </c>
      <c r="C189" t="s">
        <v>47</v>
      </c>
      <c r="D189" t="s">
        <v>89</v>
      </c>
      <c r="E189" s="1">
        <v>44957</v>
      </c>
      <c r="F189" t="s">
        <v>49</v>
      </c>
      <c r="G189" t="s">
        <v>64</v>
      </c>
      <c r="H189">
        <v>4</v>
      </c>
      <c r="I189">
        <v>16248</v>
      </c>
      <c r="J189">
        <v>64992</v>
      </c>
      <c r="K189">
        <v>34433</v>
      </c>
      <c r="L189">
        <v>6964</v>
      </c>
      <c r="M189">
        <v>23595</v>
      </c>
      <c r="N189">
        <v>47</v>
      </c>
      <c r="O189" t="s">
        <v>34</v>
      </c>
      <c r="P189" t="s">
        <v>62</v>
      </c>
      <c r="Q189" s="1">
        <v>44955</v>
      </c>
      <c r="R189" s="1">
        <v>44927</v>
      </c>
      <c r="S189" t="s">
        <v>95</v>
      </c>
      <c r="T189" s="1">
        <v>44927</v>
      </c>
      <c r="U189">
        <v>2023</v>
      </c>
    </row>
    <row r="190" spans="1:21" x14ac:dyDescent="0.3">
      <c r="A190" t="s">
        <v>299</v>
      </c>
      <c r="B190" t="s">
        <v>37</v>
      </c>
      <c r="C190" t="s">
        <v>38</v>
      </c>
      <c r="D190" t="s">
        <v>117</v>
      </c>
      <c r="E190" s="1">
        <v>44937</v>
      </c>
      <c r="F190" t="s">
        <v>25</v>
      </c>
      <c r="G190" t="s">
        <v>58</v>
      </c>
      <c r="H190">
        <v>10</v>
      </c>
      <c r="I190">
        <v>26823</v>
      </c>
      <c r="J190">
        <v>268230</v>
      </c>
      <c r="K190">
        <v>88893</v>
      </c>
      <c r="L190">
        <v>31891</v>
      </c>
      <c r="M190">
        <v>147446</v>
      </c>
      <c r="N190">
        <v>21</v>
      </c>
      <c r="O190" t="s">
        <v>34</v>
      </c>
      <c r="P190" t="s">
        <v>43</v>
      </c>
      <c r="Q190" s="1">
        <v>44934</v>
      </c>
      <c r="R190" s="1">
        <v>44927</v>
      </c>
      <c r="S190" t="s">
        <v>95</v>
      </c>
      <c r="T190" s="1">
        <v>44927</v>
      </c>
      <c r="U190">
        <v>2023</v>
      </c>
    </row>
    <row r="191" spans="1:21" x14ac:dyDescent="0.3">
      <c r="A191" t="s">
        <v>300</v>
      </c>
      <c r="B191" t="s">
        <v>46</v>
      </c>
      <c r="C191" t="s">
        <v>47</v>
      </c>
      <c r="D191" t="s">
        <v>301</v>
      </c>
      <c r="E191" s="1">
        <v>45104</v>
      </c>
      <c r="F191" t="s">
        <v>49</v>
      </c>
      <c r="G191" t="s">
        <v>98</v>
      </c>
      <c r="H191">
        <v>7</v>
      </c>
      <c r="I191">
        <v>33633</v>
      </c>
      <c r="J191">
        <v>235431</v>
      </c>
      <c r="K191">
        <v>85337</v>
      </c>
      <c r="L191">
        <v>46548</v>
      </c>
      <c r="M191">
        <v>103546</v>
      </c>
      <c r="N191">
        <v>34</v>
      </c>
      <c r="O191" t="s">
        <v>42</v>
      </c>
      <c r="P191" t="s">
        <v>62</v>
      </c>
      <c r="Q191" s="1">
        <v>45102</v>
      </c>
      <c r="R191" s="1">
        <v>45017</v>
      </c>
      <c r="S191" t="s">
        <v>35</v>
      </c>
      <c r="T191" s="1">
        <v>45078</v>
      </c>
      <c r="U191">
        <v>2023</v>
      </c>
    </row>
    <row r="192" spans="1:21" x14ac:dyDescent="0.3">
      <c r="A192" t="s">
        <v>302</v>
      </c>
      <c r="B192" t="s">
        <v>31</v>
      </c>
      <c r="C192" t="s">
        <v>23</v>
      </c>
      <c r="D192" t="s">
        <v>219</v>
      </c>
      <c r="E192" s="1">
        <v>45092</v>
      </c>
      <c r="F192" t="s">
        <v>40</v>
      </c>
      <c r="G192" t="s">
        <v>81</v>
      </c>
      <c r="H192">
        <v>9</v>
      </c>
      <c r="I192">
        <v>48152</v>
      </c>
      <c r="J192">
        <v>433368</v>
      </c>
      <c r="K192">
        <v>225351</v>
      </c>
      <c r="L192">
        <v>64209</v>
      </c>
      <c r="M192">
        <v>143808</v>
      </c>
      <c r="N192">
        <v>17</v>
      </c>
      <c r="O192" t="s">
        <v>50</v>
      </c>
      <c r="P192" t="s">
        <v>84</v>
      </c>
      <c r="Q192" s="1">
        <v>45088</v>
      </c>
      <c r="R192" s="1">
        <v>45017</v>
      </c>
      <c r="S192" t="s">
        <v>35</v>
      </c>
      <c r="T192" s="1">
        <v>45078</v>
      </c>
      <c r="U192">
        <v>2023</v>
      </c>
    </row>
    <row r="193" spans="1:21" x14ac:dyDescent="0.3">
      <c r="A193" t="s">
        <v>303</v>
      </c>
      <c r="B193" t="s">
        <v>22</v>
      </c>
      <c r="C193" t="s">
        <v>23</v>
      </c>
      <c r="D193" t="s">
        <v>106</v>
      </c>
      <c r="E193" s="1">
        <v>45045</v>
      </c>
      <c r="F193" t="s">
        <v>25</v>
      </c>
      <c r="G193" t="s">
        <v>81</v>
      </c>
      <c r="H193">
        <v>5</v>
      </c>
      <c r="I193">
        <v>68975</v>
      </c>
      <c r="J193">
        <v>344875</v>
      </c>
      <c r="K193">
        <v>182875</v>
      </c>
      <c r="L193">
        <v>43461</v>
      </c>
      <c r="M193">
        <v>118539</v>
      </c>
      <c r="N193">
        <v>15</v>
      </c>
      <c r="O193" t="s">
        <v>27</v>
      </c>
      <c r="P193" t="s">
        <v>67</v>
      </c>
      <c r="Q193" s="1">
        <v>45039</v>
      </c>
      <c r="R193" s="1">
        <v>45017</v>
      </c>
      <c r="S193" t="s">
        <v>74</v>
      </c>
      <c r="T193" s="1">
        <v>45017</v>
      </c>
      <c r="U193">
        <v>2023</v>
      </c>
    </row>
    <row r="194" spans="1:21" x14ac:dyDescent="0.3">
      <c r="A194" t="s">
        <v>304</v>
      </c>
      <c r="B194" t="s">
        <v>22</v>
      </c>
      <c r="C194" t="s">
        <v>23</v>
      </c>
      <c r="D194" t="s">
        <v>142</v>
      </c>
      <c r="E194" s="1">
        <v>44948</v>
      </c>
      <c r="F194" t="s">
        <v>49</v>
      </c>
      <c r="G194" t="s">
        <v>58</v>
      </c>
      <c r="H194">
        <v>1</v>
      </c>
      <c r="I194">
        <v>63602</v>
      </c>
      <c r="J194">
        <v>63602</v>
      </c>
      <c r="K194">
        <v>27464</v>
      </c>
      <c r="L194">
        <v>8267</v>
      </c>
      <c r="M194">
        <v>27871</v>
      </c>
      <c r="N194">
        <v>9</v>
      </c>
      <c r="O194" t="s">
        <v>27</v>
      </c>
      <c r="P194" t="s">
        <v>28</v>
      </c>
      <c r="Q194" s="1">
        <v>44948</v>
      </c>
      <c r="R194" s="1">
        <v>44927</v>
      </c>
      <c r="S194" t="s">
        <v>95</v>
      </c>
      <c r="T194" s="1">
        <v>44927</v>
      </c>
      <c r="U194">
        <v>2023</v>
      </c>
    </row>
    <row r="195" spans="1:21" x14ac:dyDescent="0.3">
      <c r="A195" t="s">
        <v>305</v>
      </c>
      <c r="B195" t="s">
        <v>37</v>
      </c>
      <c r="C195" t="s">
        <v>38</v>
      </c>
      <c r="D195" t="s">
        <v>123</v>
      </c>
      <c r="E195" s="1">
        <v>45047</v>
      </c>
      <c r="F195" t="s">
        <v>40</v>
      </c>
      <c r="G195" t="s">
        <v>41</v>
      </c>
      <c r="H195">
        <v>10</v>
      </c>
      <c r="I195">
        <v>61580</v>
      </c>
      <c r="J195">
        <v>615800</v>
      </c>
      <c r="K195">
        <v>328206</v>
      </c>
      <c r="L195">
        <v>62923</v>
      </c>
      <c r="M195">
        <v>224671</v>
      </c>
      <c r="N195">
        <v>34</v>
      </c>
      <c r="O195" t="s">
        <v>27</v>
      </c>
      <c r="P195" t="s">
        <v>51</v>
      </c>
      <c r="Q195" s="1">
        <v>45046</v>
      </c>
      <c r="R195" s="1">
        <v>45017</v>
      </c>
      <c r="S195" t="s">
        <v>68</v>
      </c>
      <c r="T195" s="1">
        <v>45047</v>
      </c>
      <c r="U195">
        <v>2023</v>
      </c>
    </row>
    <row r="196" spans="1:21" x14ac:dyDescent="0.3">
      <c r="A196" t="s">
        <v>306</v>
      </c>
      <c r="B196" t="s">
        <v>72</v>
      </c>
      <c r="C196" t="s">
        <v>47</v>
      </c>
      <c r="D196" t="s">
        <v>89</v>
      </c>
      <c r="E196" s="1">
        <v>44989</v>
      </c>
      <c r="F196" t="s">
        <v>25</v>
      </c>
      <c r="G196" t="s">
        <v>98</v>
      </c>
      <c r="H196">
        <v>1</v>
      </c>
      <c r="I196">
        <v>53896</v>
      </c>
      <c r="J196">
        <v>53896</v>
      </c>
      <c r="K196">
        <v>19862</v>
      </c>
      <c r="L196">
        <v>5960</v>
      </c>
      <c r="M196">
        <v>28074</v>
      </c>
      <c r="N196">
        <v>21</v>
      </c>
      <c r="O196" t="s">
        <v>42</v>
      </c>
      <c r="P196" t="s">
        <v>67</v>
      </c>
      <c r="Q196" s="1">
        <v>44983</v>
      </c>
      <c r="R196" s="1">
        <v>44927</v>
      </c>
      <c r="S196" t="s">
        <v>44</v>
      </c>
      <c r="T196" s="1">
        <v>44986</v>
      </c>
      <c r="U196">
        <v>2023</v>
      </c>
    </row>
    <row r="197" spans="1:21" x14ac:dyDescent="0.3">
      <c r="A197" t="s">
        <v>307</v>
      </c>
      <c r="B197" t="s">
        <v>72</v>
      </c>
      <c r="C197" t="s">
        <v>47</v>
      </c>
      <c r="D197" t="s">
        <v>137</v>
      </c>
      <c r="E197" s="1">
        <v>44942</v>
      </c>
      <c r="F197" t="s">
        <v>25</v>
      </c>
      <c r="G197" t="s">
        <v>33</v>
      </c>
      <c r="H197">
        <v>8</v>
      </c>
      <c r="I197">
        <v>56033</v>
      </c>
      <c r="J197">
        <v>448264</v>
      </c>
      <c r="K197">
        <v>241605</v>
      </c>
      <c r="L197">
        <v>65722</v>
      </c>
      <c r="M197">
        <v>140937</v>
      </c>
      <c r="N197">
        <v>8</v>
      </c>
      <c r="O197" t="s">
        <v>27</v>
      </c>
      <c r="P197" t="s">
        <v>51</v>
      </c>
      <c r="Q197" s="1">
        <v>44941</v>
      </c>
      <c r="R197" s="1">
        <v>44927</v>
      </c>
      <c r="S197" t="s">
        <v>95</v>
      </c>
      <c r="T197" s="1">
        <v>44927</v>
      </c>
      <c r="U197">
        <v>2023</v>
      </c>
    </row>
    <row r="198" spans="1:21" x14ac:dyDescent="0.3">
      <c r="A198" t="s">
        <v>308</v>
      </c>
      <c r="B198" t="s">
        <v>46</v>
      </c>
      <c r="C198" t="s">
        <v>47</v>
      </c>
      <c r="D198" t="s">
        <v>83</v>
      </c>
      <c r="E198" s="1">
        <v>45135</v>
      </c>
      <c r="F198" t="s">
        <v>57</v>
      </c>
      <c r="G198" t="s">
        <v>41</v>
      </c>
      <c r="H198">
        <v>9</v>
      </c>
      <c r="I198">
        <v>34267</v>
      </c>
      <c r="J198">
        <v>308403</v>
      </c>
      <c r="K198">
        <v>147563</v>
      </c>
      <c r="L198">
        <v>45027</v>
      </c>
      <c r="M198">
        <v>115813</v>
      </c>
      <c r="N198">
        <v>40</v>
      </c>
      <c r="O198" t="s">
        <v>34</v>
      </c>
      <c r="P198" t="s">
        <v>99</v>
      </c>
      <c r="Q198" s="1">
        <v>45130</v>
      </c>
      <c r="R198" s="1">
        <v>45108</v>
      </c>
      <c r="S198" t="s">
        <v>29</v>
      </c>
      <c r="T198" s="1">
        <v>45108</v>
      </c>
      <c r="U198">
        <v>2023</v>
      </c>
    </row>
    <row r="199" spans="1:21" x14ac:dyDescent="0.3">
      <c r="A199" t="s">
        <v>309</v>
      </c>
      <c r="B199" t="s">
        <v>72</v>
      </c>
      <c r="C199" t="s">
        <v>47</v>
      </c>
      <c r="D199" t="s">
        <v>73</v>
      </c>
      <c r="E199" s="1">
        <v>45064</v>
      </c>
      <c r="F199" t="s">
        <v>40</v>
      </c>
      <c r="G199" t="s">
        <v>64</v>
      </c>
      <c r="H199">
        <v>4</v>
      </c>
      <c r="I199">
        <v>36852</v>
      </c>
      <c r="J199">
        <v>147408</v>
      </c>
      <c r="K199">
        <v>56545</v>
      </c>
      <c r="L199">
        <v>15976</v>
      </c>
      <c r="M199">
        <v>74887</v>
      </c>
      <c r="N199">
        <v>19</v>
      </c>
      <c r="O199" t="s">
        <v>61</v>
      </c>
      <c r="P199" t="s">
        <v>84</v>
      </c>
      <c r="Q199" s="1">
        <v>45060</v>
      </c>
      <c r="R199" s="1">
        <v>45017</v>
      </c>
      <c r="S199" t="s">
        <v>68</v>
      </c>
      <c r="T199" s="1">
        <v>45047</v>
      </c>
      <c r="U199">
        <v>2023</v>
      </c>
    </row>
    <row r="200" spans="1:21" x14ac:dyDescent="0.3">
      <c r="A200" t="s">
        <v>310</v>
      </c>
      <c r="B200" t="s">
        <v>31</v>
      </c>
      <c r="C200" t="s">
        <v>23</v>
      </c>
      <c r="D200" t="s">
        <v>154</v>
      </c>
      <c r="E200" s="1">
        <v>45019</v>
      </c>
      <c r="F200" t="s">
        <v>49</v>
      </c>
      <c r="G200" t="s">
        <v>26</v>
      </c>
      <c r="H200">
        <v>6</v>
      </c>
      <c r="I200">
        <v>64143</v>
      </c>
      <c r="J200">
        <v>384858</v>
      </c>
      <c r="K200">
        <v>190320</v>
      </c>
      <c r="L200">
        <v>45677</v>
      </c>
      <c r="M200">
        <v>148861</v>
      </c>
      <c r="N200">
        <v>1</v>
      </c>
      <c r="O200" t="s">
        <v>42</v>
      </c>
      <c r="P200" t="s">
        <v>51</v>
      </c>
      <c r="Q200" s="1">
        <v>45018</v>
      </c>
      <c r="R200" s="1">
        <v>45017</v>
      </c>
      <c r="S200" t="s">
        <v>74</v>
      </c>
      <c r="T200" s="1">
        <v>45017</v>
      </c>
      <c r="U200">
        <v>2023</v>
      </c>
    </row>
    <row r="201" spans="1:21" x14ac:dyDescent="0.3">
      <c r="A201" t="s">
        <v>311</v>
      </c>
      <c r="B201" t="s">
        <v>31</v>
      </c>
      <c r="C201" t="s">
        <v>23</v>
      </c>
      <c r="D201" t="s">
        <v>196</v>
      </c>
      <c r="E201" s="1">
        <v>45233</v>
      </c>
      <c r="F201" t="s">
        <v>25</v>
      </c>
      <c r="G201" t="s">
        <v>64</v>
      </c>
      <c r="H201">
        <v>1</v>
      </c>
      <c r="I201">
        <v>45024</v>
      </c>
      <c r="J201">
        <v>45024</v>
      </c>
      <c r="K201">
        <v>17597</v>
      </c>
      <c r="L201">
        <v>8726</v>
      </c>
      <c r="M201">
        <v>18701</v>
      </c>
      <c r="N201">
        <v>46</v>
      </c>
      <c r="O201" t="s">
        <v>42</v>
      </c>
      <c r="P201" t="s">
        <v>99</v>
      </c>
      <c r="Q201" s="1">
        <v>45228</v>
      </c>
      <c r="R201" s="1">
        <v>45200</v>
      </c>
      <c r="S201" t="s">
        <v>138</v>
      </c>
      <c r="T201" s="1">
        <v>45231</v>
      </c>
      <c r="U201">
        <v>2023</v>
      </c>
    </row>
    <row r="202" spans="1:21" x14ac:dyDescent="0.3">
      <c r="A202" t="s">
        <v>312</v>
      </c>
      <c r="B202" t="s">
        <v>31</v>
      </c>
      <c r="C202" t="s">
        <v>23</v>
      </c>
      <c r="D202" t="s">
        <v>196</v>
      </c>
      <c r="E202" s="1">
        <v>45183</v>
      </c>
      <c r="F202" t="s">
        <v>57</v>
      </c>
      <c r="G202" t="s">
        <v>26</v>
      </c>
      <c r="H202">
        <v>1</v>
      </c>
      <c r="I202">
        <v>54785</v>
      </c>
      <c r="J202">
        <v>54785</v>
      </c>
      <c r="K202">
        <v>26525</v>
      </c>
      <c r="L202">
        <v>7550</v>
      </c>
      <c r="M202">
        <v>20710</v>
      </c>
      <c r="N202">
        <v>46</v>
      </c>
      <c r="O202" t="s">
        <v>61</v>
      </c>
      <c r="P202" t="s">
        <v>84</v>
      </c>
      <c r="Q202" s="1">
        <v>45179</v>
      </c>
      <c r="R202" s="1">
        <v>45108</v>
      </c>
      <c r="S202" t="s">
        <v>104</v>
      </c>
      <c r="T202" s="1">
        <v>45170</v>
      </c>
      <c r="U202">
        <v>2023</v>
      </c>
    </row>
    <row r="203" spans="1:21" x14ac:dyDescent="0.3">
      <c r="A203" t="s">
        <v>313</v>
      </c>
      <c r="B203" t="s">
        <v>72</v>
      </c>
      <c r="C203" t="s">
        <v>47</v>
      </c>
      <c r="D203" t="s">
        <v>196</v>
      </c>
      <c r="E203" s="1">
        <v>45065</v>
      </c>
      <c r="F203" t="s">
        <v>40</v>
      </c>
      <c r="G203" t="s">
        <v>64</v>
      </c>
      <c r="H203">
        <v>5</v>
      </c>
      <c r="I203">
        <v>38921</v>
      </c>
      <c r="J203">
        <v>194605</v>
      </c>
      <c r="K203">
        <v>76598</v>
      </c>
      <c r="L203">
        <v>26434</v>
      </c>
      <c r="M203">
        <v>91573</v>
      </c>
      <c r="N203">
        <v>44</v>
      </c>
      <c r="O203" t="s">
        <v>50</v>
      </c>
      <c r="P203" t="s">
        <v>99</v>
      </c>
      <c r="Q203" s="1">
        <v>45060</v>
      </c>
      <c r="R203" s="1">
        <v>45017</v>
      </c>
      <c r="S203" t="s">
        <v>68</v>
      </c>
      <c r="T203" s="1">
        <v>45047</v>
      </c>
      <c r="U203">
        <v>2023</v>
      </c>
    </row>
    <row r="204" spans="1:21" x14ac:dyDescent="0.3">
      <c r="A204" t="s">
        <v>314</v>
      </c>
      <c r="B204" t="s">
        <v>31</v>
      </c>
      <c r="C204" t="s">
        <v>23</v>
      </c>
      <c r="D204" t="s">
        <v>97</v>
      </c>
      <c r="E204" s="1">
        <v>44939</v>
      </c>
      <c r="F204" t="s">
        <v>49</v>
      </c>
      <c r="G204" t="s">
        <v>33</v>
      </c>
      <c r="H204">
        <v>8</v>
      </c>
      <c r="I204">
        <v>9188</v>
      </c>
      <c r="J204">
        <v>73504</v>
      </c>
      <c r="K204">
        <v>42180</v>
      </c>
      <c r="L204">
        <v>9467</v>
      </c>
      <c r="M204">
        <v>21857</v>
      </c>
      <c r="N204">
        <v>29</v>
      </c>
      <c r="O204" t="s">
        <v>34</v>
      </c>
      <c r="P204" t="s">
        <v>99</v>
      </c>
      <c r="Q204" s="1">
        <v>44934</v>
      </c>
      <c r="R204" s="1">
        <v>44927</v>
      </c>
      <c r="S204" t="s">
        <v>95</v>
      </c>
      <c r="T204" s="1">
        <v>44927</v>
      </c>
      <c r="U204">
        <v>2023</v>
      </c>
    </row>
    <row r="205" spans="1:21" x14ac:dyDescent="0.3">
      <c r="A205" t="s">
        <v>315</v>
      </c>
      <c r="B205" t="s">
        <v>72</v>
      </c>
      <c r="C205" t="s">
        <v>47</v>
      </c>
      <c r="D205" t="s">
        <v>128</v>
      </c>
      <c r="E205" s="1">
        <v>45126</v>
      </c>
      <c r="F205" t="s">
        <v>49</v>
      </c>
      <c r="G205" t="s">
        <v>41</v>
      </c>
      <c r="H205">
        <v>7</v>
      </c>
      <c r="I205">
        <v>44717</v>
      </c>
      <c r="J205">
        <v>313019</v>
      </c>
      <c r="K205">
        <v>120380</v>
      </c>
      <c r="L205">
        <v>45395</v>
      </c>
      <c r="M205">
        <v>147244</v>
      </c>
      <c r="N205">
        <v>31</v>
      </c>
      <c r="O205" t="s">
        <v>34</v>
      </c>
      <c r="P205" t="s">
        <v>43</v>
      </c>
      <c r="Q205" s="1">
        <v>45123</v>
      </c>
      <c r="R205" s="1">
        <v>45108</v>
      </c>
      <c r="S205" t="s">
        <v>29</v>
      </c>
      <c r="T205" s="1">
        <v>45108</v>
      </c>
      <c r="U205">
        <v>2023</v>
      </c>
    </row>
    <row r="206" spans="1:21" x14ac:dyDescent="0.3">
      <c r="A206" t="s">
        <v>316</v>
      </c>
      <c r="B206" t="s">
        <v>37</v>
      </c>
      <c r="C206" t="s">
        <v>38</v>
      </c>
      <c r="D206" t="s">
        <v>114</v>
      </c>
      <c r="E206" s="1">
        <v>44930</v>
      </c>
      <c r="F206" t="s">
        <v>25</v>
      </c>
      <c r="G206" t="s">
        <v>33</v>
      </c>
      <c r="H206">
        <v>7</v>
      </c>
      <c r="I206">
        <v>56567</v>
      </c>
      <c r="J206">
        <v>395969</v>
      </c>
      <c r="K206">
        <v>156840</v>
      </c>
      <c r="L206">
        <v>63469</v>
      </c>
      <c r="M206">
        <v>175660</v>
      </c>
      <c r="N206">
        <v>6</v>
      </c>
      <c r="O206" t="s">
        <v>50</v>
      </c>
      <c r="P206" t="s">
        <v>43</v>
      </c>
      <c r="Q206" s="1">
        <v>44927</v>
      </c>
      <c r="R206" s="1">
        <v>44927</v>
      </c>
      <c r="S206" t="s">
        <v>95</v>
      </c>
      <c r="T206" s="1">
        <v>44927</v>
      </c>
      <c r="U206">
        <v>2023</v>
      </c>
    </row>
    <row r="207" spans="1:21" x14ac:dyDescent="0.3">
      <c r="A207" t="s">
        <v>317</v>
      </c>
      <c r="B207" t="s">
        <v>46</v>
      </c>
      <c r="C207" t="s">
        <v>47</v>
      </c>
      <c r="D207" t="s">
        <v>133</v>
      </c>
      <c r="E207" s="1">
        <v>45071</v>
      </c>
      <c r="F207" t="s">
        <v>25</v>
      </c>
      <c r="G207" t="s">
        <v>98</v>
      </c>
      <c r="H207">
        <v>3</v>
      </c>
      <c r="I207">
        <v>2384</v>
      </c>
      <c r="J207">
        <v>7152</v>
      </c>
      <c r="K207">
        <v>2275</v>
      </c>
      <c r="L207">
        <v>758</v>
      </c>
      <c r="M207">
        <v>4119</v>
      </c>
      <c r="N207">
        <v>36</v>
      </c>
      <c r="O207" t="s">
        <v>50</v>
      </c>
      <c r="P207" t="s">
        <v>84</v>
      </c>
      <c r="Q207" s="1">
        <v>45067</v>
      </c>
      <c r="R207" s="1">
        <v>45017</v>
      </c>
      <c r="S207" t="s">
        <v>68</v>
      </c>
      <c r="T207" s="1">
        <v>45047</v>
      </c>
      <c r="U207">
        <v>2023</v>
      </c>
    </row>
    <row r="208" spans="1:21" x14ac:dyDescent="0.3">
      <c r="A208" t="s">
        <v>318</v>
      </c>
      <c r="B208" t="s">
        <v>37</v>
      </c>
      <c r="C208" t="s">
        <v>38</v>
      </c>
      <c r="D208" t="s">
        <v>137</v>
      </c>
      <c r="E208" s="1">
        <v>45052</v>
      </c>
      <c r="F208" t="s">
        <v>25</v>
      </c>
      <c r="G208" t="s">
        <v>33</v>
      </c>
      <c r="H208">
        <v>4</v>
      </c>
      <c r="I208">
        <v>25256</v>
      </c>
      <c r="J208">
        <v>101024</v>
      </c>
      <c r="K208">
        <v>34043</v>
      </c>
      <c r="L208">
        <v>17184</v>
      </c>
      <c r="M208">
        <v>49797</v>
      </c>
      <c r="N208">
        <v>35</v>
      </c>
      <c r="O208" t="s">
        <v>34</v>
      </c>
      <c r="P208" t="s">
        <v>67</v>
      </c>
      <c r="Q208" s="1">
        <v>45046</v>
      </c>
      <c r="R208" s="1">
        <v>45017</v>
      </c>
      <c r="S208" t="s">
        <v>68</v>
      </c>
      <c r="T208" s="1">
        <v>45047</v>
      </c>
      <c r="U208">
        <v>2023</v>
      </c>
    </row>
    <row r="209" spans="1:21" x14ac:dyDescent="0.3">
      <c r="A209" t="s">
        <v>319</v>
      </c>
      <c r="B209" t="s">
        <v>22</v>
      </c>
      <c r="C209" t="s">
        <v>23</v>
      </c>
      <c r="D209" t="s">
        <v>119</v>
      </c>
      <c r="E209" s="1">
        <v>45235</v>
      </c>
      <c r="F209" t="s">
        <v>57</v>
      </c>
      <c r="G209" t="s">
        <v>81</v>
      </c>
      <c r="H209">
        <v>6</v>
      </c>
      <c r="I209">
        <v>34086</v>
      </c>
      <c r="J209">
        <v>204516</v>
      </c>
      <c r="K209">
        <v>96963</v>
      </c>
      <c r="L209">
        <v>22249</v>
      </c>
      <c r="M209">
        <v>85304</v>
      </c>
      <c r="N209">
        <v>31</v>
      </c>
      <c r="O209" t="s">
        <v>34</v>
      </c>
      <c r="P209" t="s">
        <v>28</v>
      </c>
      <c r="Q209" s="1">
        <v>45235</v>
      </c>
      <c r="R209" s="1">
        <v>45200</v>
      </c>
      <c r="S209" t="s">
        <v>138</v>
      </c>
      <c r="T209" s="1">
        <v>45231</v>
      </c>
      <c r="U209">
        <v>2023</v>
      </c>
    </row>
    <row r="210" spans="1:21" x14ac:dyDescent="0.3">
      <c r="A210" t="s">
        <v>320</v>
      </c>
      <c r="B210" t="s">
        <v>31</v>
      </c>
      <c r="C210" t="s">
        <v>23</v>
      </c>
      <c r="D210" t="s">
        <v>48</v>
      </c>
      <c r="E210" s="1">
        <v>45166</v>
      </c>
      <c r="F210" t="s">
        <v>57</v>
      </c>
      <c r="G210" t="s">
        <v>81</v>
      </c>
      <c r="H210">
        <v>3</v>
      </c>
      <c r="I210">
        <v>18326</v>
      </c>
      <c r="J210">
        <v>54978</v>
      </c>
      <c r="K210">
        <v>30770</v>
      </c>
      <c r="L210">
        <v>8922</v>
      </c>
      <c r="M210">
        <v>15286</v>
      </c>
      <c r="N210">
        <v>20</v>
      </c>
      <c r="O210" t="s">
        <v>50</v>
      </c>
      <c r="P210" t="s">
        <v>51</v>
      </c>
      <c r="Q210" s="1">
        <v>45165</v>
      </c>
      <c r="R210" s="1">
        <v>45108</v>
      </c>
      <c r="S210" t="s">
        <v>92</v>
      </c>
      <c r="T210" s="1">
        <v>45139</v>
      </c>
      <c r="U210">
        <v>2023</v>
      </c>
    </row>
    <row r="211" spans="1:21" x14ac:dyDescent="0.3">
      <c r="A211" t="s">
        <v>321</v>
      </c>
      <c r="B211" t="s">
        <v>37</v>
      </c>
      <c r="C211" t="s">
        <v>38</v>
      </c>
      <c r="D211" t="s">
        <v>111</v>
      </c>
      <c r="E211" s="1">
        <v>45018</v>
      </c>
      <c r="F211" t="s">
        <v>49</v>
      </c>
      <c r="G211" t="s">
        <v>26</v>
      </c>
      <c r="H211">
        <v>3</v>
      </c>
      <c r="I211">
        <v>7125</v>
      </c>
      <c r="J211">
        <v>21375</v>
      </c>
      <c r="K211">
        <v>7347</v>
      </c>
      <c r="L211">
        <v>2178</v>
      </c>
      <c r="M211">
        <v>11850</v>
      </c>
      <c r="N211">
        <v>29</v>
      </c>
      <c r="O211" t="s">
        <v>61</v>
      </c>
      <c r="P211" t="s">
        <v>28</v>
      </c>
      <c r="Q211" s="1">
        <v>45018</v>
      </c>
      <c r="R211" s="1">
        <v>45017</v>
      </c>
      <c r="S211" t="s">
        <v>74</v>
      </c>
      <c r="T211" s="1">
        <v>45017</v>
      </c>
      <c r="U211">
        <v>2023</v>
      </c>
    </row>
    <row r="212" spans="1:21" x14ac:dyDescent="0.3">
      <c r="A212" t="s">
        <v>322</v>
      </c>
      <c r="B212" t="s">
        <v>22</v>
      </c>
      <c r="C212" t="s">
        <v>23</v>
      </c>
      <c r="D212" t="s">
        <v>114</v>
      </c>
      <c r="E212" s="1">
        <v>45172</v>
      </c>
      <c r="F212" t="s">
        <v>57</v>
      </c>
      <c r="G212" t="s">
        <v>64</v>
      </c>
      <c r="H212">
        <v>6</v>
      </c>
      <c r="I212">
        <v>33123</v>
      </c>
      <c r="J212">
        <v>198738</v>
      </c>
      <c r="K212">
        <v>90690</v>
      </c>
      <c r="L212">
        <v>20693</v>
      </c>
      <c r="M212">
        <v>87355</v>
      </c>
      <c r="N212">
        <v>37</v>
      </c>
      <c r="O212" t="s">
        <v>50</v>
      </c>
      <c r="P212" t="s">
        <v>28</v>
      </c>
      <c r="Q212" s="1">
        <v>45172</v>
      </c>
      <c r="R212" s="1">
        <v>45108</v>
      </c>
      <c r="S212" t="s">
        <v>104</v>
      </c>
      <c r="T212" s="1">
        <v>45170</v>
      </c>
      <c r="U212">
        <v>2023</v>
      </c>
    </row>
    <row r="213" spans="1:21" x14ac:dyDescent="0.3">
      <c r="A213" t="s">
        <v>323</v>
      </c>
      <c r="B213" t="s">
        <v>72</v>
      </c>
      <c r="C213" t="s">
        <v>47</v>
      </c>
      <c r="D213" t="s">
        <v>106</v>
      </c>
      <c r="E213" s="1">
        <v>45097</v>
      </c>
      <c r="F213" t="s">
        <v>49</v>
      </c>
      <c r="G213" t="s">
        <v>98</v>
      </c>
      <c r="H213">
        <v>8</v>
      </c>
      <c r="I213">
        <v>3794</v>
      </c>
      <c r="J213">
        <v>30352</v>
      </c>
      <c r="K213">
        <v>9895</v>
      </c>
      <c r="L213">
        <v>4414</v>
      </c>
      <c r="M213">
        <v>16043</v>
      </c>
      <c r="N213">
        <v>27</v>
      </c>
      <c r="O213" t="s">
        <v>27</v>
      </c>
      <c r="P213" t="s">
        <v>62</v>
      </c>
      <c r="Q213" s="1">
        <v>45095</v>
      </c>
      <c r="R213" s="1">
        <v>45017</v>
      </c>
      <c r="S213" t="s">
        <v>35</v>
      </c>
      <c r="T213" s="1">
        <v>45078</v>
      </c>
      <c r="U213">
        <v>2023</v>
      </c>
    </row>
    <row r="214" spans="1:21" x14ac:dyDescent="0.3">
      <c r="A214" t="s">
        <v>324</v>
      </c>
      <c r="B214" t="s">
        <v>46</v>
      </c>
      <c r="C214" t="s">
        <v>47</v>
      </c>
      <c r="D214" t="s">
        <v>114</v>
      </c>
      <c r="E214" s="1">
        <v>44945</v>
      </c>
      <c r="F214" t="s">
        <v>49</v>
      </c>
      <c r="G214" t="s">
        <v>98</v>
      </c>
      <c r="H214">
        <v>3</v>
      </c>
      <c r="I214">
        <v>13564</v>
      </c>
      <c r="J214">
        <v>40692</v>
      </c>
      <c r="K214">
        <v>23406</v>
      </c>
      <c r="L214">
        <v>6303</v>
      </c>
      <c r="M214">
        <v>10983</v>
      </c>
      <c r="N214">
        <v>40</v>
      </c>
      <c r="O214" t="s">
        <v>61</v>
      </c>
      <c r="P214" t="s">
        <v>84</v>
      </c>
      <c r="Q214" s="1">
        <v>44941</v>
      </c>
      <c r="R214" s="1">
        <v>44927</v>
      </c>
      <c r="S214" t="s">
        <v>95</v>
      </c>
      <c r="T214" s="1">
        <v>44927</v>
      </c>
      <c r="U214">
        <v>2023</v>
      </c>
    </row>
    <row r="215" spans="1:21" x14ac:dyDescent="0.3">
      <c r="A215" t="s">
        <v>325</v>
      </c>
      <c r="B215" t="s">
        <v>46</v>
      </c>
      <c r="C215" t="s">
        <v>47</v>
      </c>
      <c r="D215" t="s">
        <v>111</v>
      </c>
      <c r="E215" s="1">
        <v>45118</v>
      </c>
      <c r="F215" t="s">
        <v>40</v>
      </c>
      <c r="G215" t="s">
        <v>64</v>
      </c>
      <c r="H215">
        <v>1</v>
      </c>
      <c r="I215">
        <v>22786</v>
      </c>
      <c r="J215">
        <v>22786</v>
      </c>
      <c r="K215">
        <v>13263</v>
      </c>
      <c r="L215">
        <v>4436</v>
      </c>
      <c r="M215">
        <v>5087</v>
      </c>
      <c r="N215">
        <v>0</v>
      </c>
      <c r="O215" t="s">
        <v>61</v>
      </c>
      <c r="P215" t="s">
        <v>62</v>
      </c>
      <c r="Q215" s="1">
        <v>45116</v>
      </c>
      <c r="R215" s="1">
        <v>45108</v>
      </c>
      <c r="S215" t="s">
        <v>29</v>
      </c>
      <c r="T215" s="1">
        <v>45108</v>
      </c>
      <c r="U215">
        <v>2023</v>
      </c>
    </row>
    <row r="216" spans="1:21" x14ac:dyDescent="0.3">
      <c r="A216" t="s">
        <v>326</v>
      </c>
      <c r="B216" t="s">
        <v>46</v>
      </c>
      <c r="C216" t="s">
        <v>47</v>
      </c>
      <c r="D216" t="s">
        <v>91</v>
      </c>
      <c r="E216" s="1">
        <v>45013</v>
      </c>
      <c r="F216" t="s">
        <v>40</v>
      </c>
      <c r="G216" t="s">
        <v>41</v>
      </c>
      <c r="H216">
        <v>6</v>
      </c>
      <c r="I216">
        <v>29048</v>
      </c>
      <c r="J216">
        <v>174288</v>
      </c>
      <c r="K216">
        <v>73245</v>
      </c>
      <c r="L216">
        <v>30476</v>
      </c>
      <c r="M216">
        <v>70567</v>
      </c>
      <c r="N216">
        <v>22</v>
      </c>
      <c r="O216" t="s">
        <v>34</v>
      </c>
      <c r="P216" t="s">
        <v>62</v>
      </c>
      <c r="Q216" s="1">
        <v>45011</v>
      </c>
      <c r="R216" s="1">
        <v>44927</v>
      </c>
      <c r="S216" t="s">
        <v>44</v>
      </c>
      <c r="T216" s="1">
        <v>44986</v>
      </c>
      <c r="U216">
        <v>2023</v>
      </c>
    </row>
    <row r="217" spans="1:21" x14ac:dyDescent="0.3">
      <c r="A217" t="s">
        <v>327</v>
      </c>
      <c r="B217" t="s">
        <v>46</v>
      </c>
      <c r="C217" t="s">
        <v>47</v>
      </c>
      <c r="D217" t="s">
        <v>121</v>
      </c>
      <c r="E217" s="1">
        <v>44963</v>
      </c>
      <c r="F217" t="s">
        <v>40</v>
      </c>
      <c r="G217" t="s">
        <v>26</v>
      </c>
      <c r="H217">
        <v>9</v>
      </c>
      <c r="I217">
        <v>58887</v>
      </c>
      <c r="J217">
        <v>529983</v>
      </c>
      <c r="K217">
        <v>315063</v>
      </c>
      <c r="L217">
        <v>80898</v>
      </c>
      <c r="M217">
        <v>134022</v>
      </c>
      <c r="N217">
        <v>34</v>
      </c>
      <c r="O217" t="s">
        <v>42</v>
      </c>
      <c r="P217" t="s">
        <v>51</v>
      </c>
      <c r="Q217" s="1">
        <v>44962</v>
      </c>
      <c r="R217" s="1">
        <v>44927</v>
      </c>
      <c r="S217" t="s">
        <v>85</v>
      </c>
      <c r="T217" s="1">
        <v>44958</v>
      </c>
      <c r="U217">
        <v>2023</v>
      </c>
    </row>
    <row r="218" spans="1:21" x14ac:dyDescent="0.3">
      <c r="A218" t="s">
        <v>328</v>
      </c>
      <c r="B218" t="s">
        <v>31</v>
      </c>
      <c r="C218" t="s">
        <v>23</v>
      </c>
      <c r="D218" t="s">
        <v>205</v>
      </c>
      <c r="E218" s="1">
        <v>45118</v>
      </c>
      <c r="F218" t="s">
        <v>40</v>
      </c>
      <c r="G218" t="s">
        <v>58</v>
      </c>
      <c r="H218">
        <v>8</v>
      </c>
      <c r="I218">
        <v>51894</v>
      </c>
      <c r="J218">
        <v>415152</v>
      </c>
      <c r="K218">
        <v>168670</v>
      </c>
      <c r="L218">
        <v>62455</v>
      </c>
      <c r="M218">
        <v>184027</v>
      </c>
      <c r="N218">
        <v>47</v>
      </c>
      <c r="O218" t="s">
        <v>34</v>
      </c>
      <c r="P218" t="s">
        <v>62</v>
      </c>
      <c r="Q218" s="1">
        <v>45116</v>
      </c>
      <c r="R218" s="1">
        <v>45108</v>
      </c>
      <c r="S218" t="s">
        <v>29</v>
      </c>
      <c r="T218" s="1">
        <v>45108</v>
      </c>
      <c r="U218">
        <v>2023</v>
      </c>
    </row>
    <row r="219" spans="1:21" x14ac:dyDescent="0.3">
      <c r="A219" t="s">
        <v>329</v>
      </c>
      <c r="B219" t="s">
        <v>46</v>
      </c>
      <c r="C219" t="s">
        <v>47</v>
      </c>
      <c r="D219" t="s">
        <v>73</v>
      </c>
      <c r="E219" s="1">
        <v>45044</v>
      </c>
      <c r="F219" t="s">
        <v>40</v>
      </c>
      <c r="G219" t="s">
        <v>33</v>
      </c>
      <c r="H219">
        <v>7</v>
      </c>
      <c r="I219">
        <v>69351</v>
      </c>
      <c r="J219">
        <v>485457</v>
      </c>
      <c r="K219">
        <v>202719</v>
      </c>
      <c r="L219">
        <v>90160</v>
      </c>
      <c r="M219">
        <v>192578</v>
      </c>
      <c r="N219">
        <v>39</v>
      </c>
      <c r="O219" t="s">
        <v>42</v>
      </c>
      <c r="P219" t="s">
        <v>99</v>
      </c>
      <c r="Q219" s="1">
        <v>45039</v>
      </c>
      <c r="R219" s="1">
        <v>45017</v>
      </c>
      <c r="S219" t="s">
        <v>74</v>
      </c>
      <c r="T219" s="1">
        <v>45017</v>
      </c>
      <c r="U219">
        <v>2023</v>
      </c>
    </row>
    <row r="220" spans="1:21" x14ac:dyDescent="0.3">
      <c r="A220" t="s">
        <v>330</v>
      </c>
      <c r="B220" t="s">
        <v>37</v>
      </c>
      <c r="C220" t="s">
        <v>38</v>
      </c>
      <c r="D220" t="s">
        <v>66</v>
      </c>
      <c r="E220" s="1">
        <v>45137</v>
      </c>
      <c r="F220" t="s">
        <v>25</v>
      </c>
      <c r="G220" t="s">
        <v>26</v>
      </c>
      <c r="H220">
        <v>6</v>
      </c>
      <c r="I220">
        <v>35785</v>
      </c>
      <c r="J220">
        <v>214710</v>
      </c>
      <c r="K220">
        <v>91933</v>
      </c>
      <c r="L220">
        <v>25382</v>
      </c>
      <c r="M220">
        <v>97395</v>
      </c>
      <c r="N220">
        <v>37</v>
      </c>
      <c r="O220" t="s">
        <v>50</v>
      </c>
      <c r="P220" t="s">
        <v>28</v>
      </c>
      <c r="Q220" s="1">
        <v>45137</v>
      </c>
      <c r="R220" s="1">
        <v>45108</v>
      </c>
      <c r="S220" t="s">
        <v>29</v>
      </c>
      <c r="T220" s="1">
        <v>45108</v>
      </c>
      <c r="U220">
        <v>2023</v>
      </c>
    </row>
    <row r="221" spans="1:21" x14ac:dyDescent="0.3">
      <c r="A221" t="s">
        <v>331</v>
      </c>
      <c r="B221" t="s">
        <v>37</v>
      </c>
      <c r="C221" t="s">
        <v>38</v>
      </c>
      <c r="D221" t="s">
        <v>154</v>
      </c>
      <c r="E221" s="1">
        <v>44996</v>
      </c>
      <c r="F221" t="s">
        <v>57</v>
      </c>
      <c r="G221" t="s">
        <v>64</v>
      </c>
      <c r="H221">
        <v>9</v>
      </c>
      <c r="I221">
        <v>9790</v>
      </c>
      <c r="J221">
        <v>88110</v>
      </c>
      <c r="K221">
        <v>45790</v>
      </c>
      <c r="L221">
        <v>13019</v>
      </c>
      <c r="M221">
        <v>29301</v>
      </c>
      <c r="N221">
        <v>42</v>
      </c>
      <c r="O221" t="s">
        <v>50</v>
      </c>
      <c r="P221" t="s">
        <v>67</v>
      </c>
      <c r="Q221" s="1">
        <v>44990</v>
      </c>
      <c r="R221" s="1">
        <v>44927</v>
      </c>
      <c r="S221" t="s">
        <v>44</v>
      </c>
      <c r="T221" s="1">
        <v>44986</v>
      </c>
      <c r="U221">
        <v>2023</v>
      </c>
    </row>
    <row r="222" spans="1:21" x14ac:dyDescent="0.3">
      <c r="A222" t="s">
        <v>332</v>
      </c>
      <c r="B222" t="s">
        <v>72</v>
      </c>
      <c r="C222" t="s">
        <v>47</v>
      </c>
      <c r="D222" t="s">
        <v>135</v>
      </c>
      <c r="E222" s="1">
        <v>45184</v>
      </c>
      <c r="F222" t="s">
        <v>49</v>
      </c>
      <c r="G222" t="s">
        <v>98</v>
      </c>
      <c r="H222">
        <v>6</v>
      </c>
      <c r="I222">
        <v>58190</v>
      </c>
      <c r="J222">
        <v>349140</v>
      </c>
      <c r="K222">
        <v>174832</v>
      </c>
      <c r="L222">
        <v>47996</v>
      </c>
      <c r="M222">
        <v>126312</v>
      </c>
      <c r="N222">
        <v>7</v>
      </c>
      <c r="O222" t="s">
        <v>42</v>
      </c>
      <c r="P222" t="s">
        <v>99</v>
      </c>
      <c r="Q222" s="1">
        <v>45179</v>
      </c>
      <c r="R222" s="1">
        <v>45108</v>
      </c>
      <c r="S222" t="s">
        <v>104</v>
      </c>
      <c r="T222" s="1">
        <v>45170</v>
      </c>
      <c r="U222">
        <v>2023</v>
      </c>
    </row>
    <row r="223" spans="1:21" x14ac:dyDescent="0.3">
      <c r="A223" t="s">
        <v>333</v>
      </c>
      <c r="B223" t="s">
        <v>46</v>
      </c>
      <c r="C223" t="s">
        <v>47</v>
      </c>
      <c r="D223" t="s">
        <v>87</v>
      </c>
      <c r="E223" s="1">
        <v>45059</v>
      </c>
      <c r="F223" t="s">
        <v>25</v>
      </c>
      <c r="G223" t="s">
        <v>41</v>
      </c>
      <c r="H223">
        <v>2</v>
      </c>
      <c r="I223">
        <v>11125</v>
      </c>
      <c r="J223">
        <v>22250</v>
      </c>
      <c r="K223">
        <v>12826</v>
      </c>
      <c r="L223">
        <v>2995</v>
      </c>
      <c r="M223">
        <v>6429</v>
      </c>
      <c r="N223">
        <v>2</v>
      </c>
      <c r="O223" t="s">
        <v>50</v>
      </c>
      <c r="P223" t="s">
        <v>67</v>
      </c>
      <c r="Q223" s="1">
        <v>45053</v>
      </c>
      <c r="R223" s="1">
        <v>45017</v>
      </c>
      <c r="S223" t="s">
        <v>68</v>
      </c>
      <c r="T223" s="1">
        <v>45047</v>
      </c>
      <c r="U223">
        <v>2023</v>
      </c>
    </row>
    <row r="224" spans="1:21" x14ac:dyDescent="0.3">
      <c r="A224" t="s">
        <v>334</v>
      </c>
      <c r="B224" t="s">
        <v>46</v>
      </c>
      <c r="C224" t="s">
        <v>47</v>
      </c>
      <c r="D224" t="s">
        <v>66</v>
      </c>
      <c r="E224" s="1">
        <v>44991</v>
      </c>
      <c r="F224" t="s">
        <v>49</v>
      </c>
      <c r="G224" t="s">
        <v>33</v>
      </c>
      <c r="H224">
        <v>2</v>
      </c>
      <c r="I224">
        <v>33147</v>
      </c>
      <c r="J224">
        <v>66294</v>
      </c>
      <c r="K224">
        <v>37074</v>
      </c>
      <c r="L224">
        <v>8371</v>
      </c>
      <c r="M224">
        <v>20849</v>
      </c>
      <c r="N224">
        <v>30</v>
      </c>
      <c r="O224" t="s">
        <v>27</v>
      </c>
      <c r="P224" t="s">
        <v>51</v>
      </c>
      <c r="Q224" s="1">
        <v>44990</v>
      </c>
      <c r="R224" s="1">
        <v>44927</v>
      </c>
      <c r="S224" t="s">
        <v>44</v>
      </c>
      <c r="T224" s="1">
        <v>44986</v>
      </c>
      <c r="U224">
        <v>2023</v>
      </c>
    </row>
    <row r="225" spans="1:21" x14ac:dyDescent="0.3">
      <c r="A225" t="s">
        <v>335</v>
      </c>
      <c r="B225" t="s">
        <v>37</v>
      </c>
      <c r="C225" t="s">
        <v>38</v>
      </c>
      <c r="D225" t="s">
        <v>60</v>
      </c>
      <c r="E225" s="1">
        <v>44971</v>
      </c>
      <c r="F225" t="s">
        <v>40</v>
      </c>
      <c r="G225" t="s">
        <v>98</v>
      </c>
      <c r="H225">
        <v>1</v>
      </c>
      <c r="I225">
        <v>8388</v>
      </c>
      <c r="J225">
        <v>8388</v>
      </c>
      <c r="K225">
        <v>4610</v>
      </c>
      <c r="L225">
        <v>1202</v>
      </c>
      <c r="M225">
        <v>2576</v>
      </c>
      <c r="N225">
        <v>35</v>
      </c>
      <c r="O225" t="s">
        <v>34</v>
      </c>
      <c r="P225" t="s">
        <v>62</v>
      </c>
      <c r="Q225" s="1">
        <v>44969</v>
      </c>
      <c r="R225" s="1">
        <v>44927</v>
      </c>
      <c r="S225" t="s">
        <v>85</v>
      </c>
      <c r="T225" s="1">
        <v>44958</v>
      </c>
      <c r="U225">
        <v>2023</v>
      </c>
    </row>
    <row r="226" spans="1:21" x14ac:dyDescent="0.3">
      <c r="A226" t="s">
        <v>336</v>
      </c>
      <c r="B226" t="s">
        <v>46</v>
      </c>
      <c r="C226" t="s">
        <v>47</v>
      </c>
      <c r="D226" t="s">
        <v>106</v>
      </c>
      <c r="E226" s="1">
        <v>45192</v>
      </c>
      <c r="F226" t="s">
        <v>57</v>
      </c>
      <c r="G226" t="s">
        <v>58</v>
      </c>
      <c r="H226">
        <v>4</v>
      </c>
      <c r="I226">
        <v>9343</v>
      </c>
      <c r="J226">
        <v>37372</v>
      </c>
      <c r="K226">
        <v>18295</v>
      </c>
      <c r="L226">
        <v>6490</v>
      </c>
      <c r="M226">
        <v>12587</v>
      </c>
      <c r="N226">
        <v>9</v>
      </c>
      <c r="O226" t="s">
        <v>42</v>
      </c>
      <c r="P226" t="s">
        <v>67</v>
      </c>
      <c r="Q226" s="1">
        <v>45186</v>
      </c>
      <c r="R226" s="1">
        <v>45108</v>
      </c>
      <c r="S226" t="s">
        <v>104</v>
      </c>
      <c r="T226" s="1">
        <v>45170</v>
      </c>
      <c r="U226">
        <v>2023</v>
      </c>
    </row>
    <row r="227" spans="1:21" x14ac:dyDescent="0.3">
      <c r="A227" t="s">
        <v>337</v>
      </c>
      <c r="B227" t="s">
        <v>22</v>
      </c>
      <c r="C227" t="s">
        <v>23</v>
      </c>
      <c r="D227" t="s">
        <v>101</v>
      </c>
      <c r="E227" s="1">
        <v>45146</v>
      </c>
      <c r="F227" t="s">
        <v>40</v>
      </c>
      <c r="G227" t="s">
        <v>81</v>
      </c>
      <c r="H227">
        <v>3</v>
      </c>
      <c r="I227">
        <v>27120</v>
      </c>
      <c r="J227">
        <v>81360</v>
      </c>
      <c r="K227">
        <v>35943</v>
      </c>
      <c r="L227">
        <v>11669</v>
      </c>
      <c r="M227">
        <v>33748</v>
      </c>
      <c r="N227">
        <v>45</v>
      </c>
      <c r="O227" t="s">
        <v>50</v>
      </c>
      <c r="P227" t="s">
        <v>62</v>
      </c>
      <c r="Q227" s="1">
        <v>45144</v>
      </c>
      <c r="R227" s="1">
        <v>45108</v>
      </c>
      <c r="S227" t="s">
        <v>92</v>
      </c>
      <c r="T227" s="1">
        <v>45139</v>
      </c>
      <c r="U227">
        <v>2023</v>
      </c>
    </row>
    <row r="228" spans="1:21" x14ac:dyDescent="0.3">
      <c r="A228" t="s">
        <v>338</v>
      </c>
      <c r="B228" t="s">
        <v>46</v>
      </c>
      <c r="C228" t="s">
        <v>47</v>
      </c>
      <c r="D228" t="s">
        <v>117</v>
      </c>
      <c r="E228" s="1">
        <v>45195</v>
      </c>
      <c r="F228" t="s">
        <v>40</v>
      </c>
      <c r="G228" t="s">
        <v>81</v>
      </c>
      <c r="H228">
        <v>7</v>
      </c>
      <c r="I228">
        <v>37567</v>
      </c>
      <c r="J228">
        <v>262969</v>
      </c>
      <c r="K228">
        <v>137464</v>
      </c>
      <c r="L228">
        <v>50934</v>
      </c>
      <c r="M228">
        <v>74571</v>
      </c>
      <c r="N228">
        <v>45</v>
      </c>
      <c r="O228" t="s">
        <v>27</v>
      </c>
      <c r="P228" t="s">
        <v>62</v>
      </c>
      <c r="Q228" s="1">
        <v>45193</v>
      </c>
      <c r="R228" s="1">
        <v>45108</v>
      </c>
      <c r="S228" t="s">
        <v>104</v>
      </c>
      <c r="T228" s="1">
        <v>45170</v>
      </c>
      <c r="U228">
        <v>2023</v>
      </c>
    </row>
    <row r="229" spans="1:21" x14ac:dyDescent="0.3">
      <c r="A229" t="s">
        <v>339</v>
      </c>
      <c r="B229" t="s">
        <v>22</v>
      </c>
      <c r="C229" t="s">
        <v>23</v>
      </c>
      <c r="D229" t="s">
        <v>219</v>
      </c>
      <c r="E229" s="1">
        <v>44982</v>
      </c>
      <c r="F229" t="s">
        <v>57</v>
      </c>
      <c r="G229" t="s">
        <v>41</v>
      </c>
      <c r="H229">
        <v>4</v>
      </c>
      <c r="I229">
        <v>61311</v>
      </c>
      <c r="J229">
        <v>245244</v>
      </c>
      <c r="K229">
        <v>101592</v>
      </c>
      <c r="L229">
        <v>43482</v>
      </c>
      <c r="M229">
        <v>100170</v>
      </c>
      <c r="N229">
        <v>19</v>
      </c>
      <c r="O229" t="s">
        <v>50</v>
      </c>
      <c r="P229" t="s">
        <v>67</v>
      </c>
      <c r="Q229" s="1">
        <v>44976</v>
      </c>
      <c r="R229" s="1">
        <v>44927</v>
      </c>
      <c r="S229" t="s">
        <v>85</v>
      </c>
      <c r="T229" s="1">
        <v>44958</v>
      </c>
      <c r="U229">
        <v>2023</v>
      </c>
    </row>
    <row r="230" spans="1:21" x14ac:dyDescent="0.3">
      <c r="A230" t="s">
        <v>340</v>
      </c>
      <c r="B230" t="s">
        <v>46</v>
      </c>
      <c r="C230" t="s">
        <v>47</v>
      </c>
      <c r="D230" t="s">
        <v>106</v>
      </c>
      <c r="E230" s="1">
        <v>45180</v>
      </c>
      <c r="F230" t="s">
        <v>25</v>
      </c>
      <c r="G230" t="s">
        <v>58</v>
      </c>
      <c r="H230">
        <v>3</v>
      </c>
      <c r="I230">
        <v>5456</v>
      </c>
      <c r="J230">
        <v>16368</v>
      </c>
      <c r="K230">
        <v>5837</v>
      </c>
      <c r="L230">
        <v>2856</v>
      </c>
      <c r="M230">
        <v>7675</v>
      </c>
      <c r="N230">
        <v>25</v>
      </c>
      <c r="O230" t="s">
        <v>42</v>
      </c>
      <c r="P230" t="s">
        <v>51</v>
      </c>
      <c r="Q230" s="1">
        <v>45179</v>
      </c>
      <c r="R230" s="1">
        <v>45108</v>
      </c>
      <c r="S230" t="s">
        <v>104</v>
      </c>
      <c r="T230" s="1">
        <v>45170</v>
      </c>
      <c r="U230">
        <v>2023</v>
      </c>
    </row>
    <row r="231" spans="1:21" x14ac:dyDescent="0.3">
      <c r="A231" t="s">
        <v>341</v>
      </c>
      <c r="B231" t="s">
        <v>31</v>
      </c>
      <c r="C231" t="s">
        <v>23</v>
      </c>
      <c r="D231" t="s">
        <v>221</v>
      </c>
      <c r="E231" s="1">
        <v>45060</v>
      </c>
      <c r="F231" t="s">
        <v>49</v>
      </c>
      <c r="G231" t="s">
        <v>33</v>
      </c>
      <c r="H231">
        <v>4</v>
      </c>
      <c r="I231">
        <v>61111</v>
      </c>
      <c r="J231">
        <v>244444</v>
      </c>
      <c r="K231">
        <v>85953</v>
      </c>
      <c r="L231">
        <v>41535</v>
      </c>
      <c r="M231">
        <v>116956</v>
      </c>
      <c r="N231">
        <v>18</v>
      </c>
      <c r="O231" t="s">
        <v>27</v>
      </c>
      <c r="P231" t="s">
        <v>28</v>
      </c>
      <c r="Q231" s="1">
        <v>45060</v>
      </c>
      <c r="R231" s="1">
        <v>45017</v>
      </c>
      <c r="S231" t="s">
        <v>68</v>
      </c>
      <c r="T231" s="1">
        <v>45047</v>
      </c>
      <c r="U231">
        <v>2023</v>
      </c>
    </row>
    <row r="232" spans="1:21" x14ac:dyDescent="0.3">
      <c r="A232" t="s">
        <v>342</v>
      </c>
      <c r="B232" t="s">
        <v>37</v>
      </c>
      <c r="C232" t="s">
        <v>38</v>
      </c>
      <c r="D232" t="s">
        <v>119</v>
      </c>
      <c r="E232" s="1">
        <v>45107</v>
      </c>
      <c r="F232" t="s">
        <v>25</v>
      </c>
      <c r="G232" t="s">
        <v>81</v>
      </c>
      <c r="H232">
        <v>6</v>
      </c>
      <c r="I232">
        <v>5008</v>
      </c>
      <c r="J232">
        <v>30048</v>
      </c>
      <c r="K232">
        <v>9413</v>
      </c>
      <c r="L232">
        <v>3302</v>
      </c>
      <c r="M232">
        <v>17333</v>
      </c>
      <c r="N232">
        <v>1</v>
      </c>
      <c r="O232" t="s">
        <v>50</v>
      </c>
      <c r="P232" t="s">
        <v>99</v>
      </c>
      <c r="Q232" s="1">
        <v>45102</v>
      </c>
      <c r="R232" s="1">
        <v>45017</v>
      </c>
      <c r="S232" t="s">
        <v>35</v>
      </c>
      <c r="T232" s="1">
        <v>45078</v>
      </c>
      <c r="U232">
        <v>2023</v>
      </c>
    </row>
    <row r="233" spans="1:21" x14ac:dyDescent="0.3">
      <c r="A233" t="s">
        <v>343</v>
      </c>
      <c r="B233" t="s">
        <v>37</v>
      </c>
      <c r="C233" t="s">
        <v>38</v>
      </c>
      <c r="D233" t="s">
        <v>48</v>
      </c>
      <c r="E233" s="1">
        <v>45163</v>
      </c>
      <c r="F233" t="s">
        <v>49</v>
      </c>
      <c r="G233" t="s">
        <v>58</v>
      </c>
      <c r="H233">
        <v>8</v>
      </c>
      <c r="I233">
        <v>5047</v>
      </c>
      <c r="J233">
        <v>40376</v>
      </c>
      <c r="K233">
        <v>20597</v>
      </c>
      <c r="L233">
        <v>7776</v>
      </c>
      <c r="M233">
        <v>12003</v>
      </c>
      <c r="N233">
        <v>15</v>
      </c>
      <c r="O233" t="s">
        <v>42</v>
      </c>
      <c r="P233" t="s">
        <v>99</v>
      </c>
      <c r="Q233" s="1">
        <v>45158</v>
      </c>
      <c r="R233" s="1">
        <v>45108</v>
      </c>
      <c r="S233" t="s">
        <v>92</v>
      </c>
      <c r="T233" s="1">
        <v>45139</v>
      </c>
      <c r="U233">
        <v>2023</v>
      </c>
    </row>
    <row r="234" spans="1:21" x14ac:dyDescent="0.3">
      <c r="A234" t="s">
        <v>344</v>
      </c>
      <c r="B234" t="s">
        <v>22</v>
      </c>
      <c r="C234" t="s">
        <v>23</v>
      </c>
      <c r="D234" t="s">
        <v>101</v>
      </c>
      <c r="E234" s="1">
        <v>45165</v>
      </c>
      <c r="F234" t="s">
        <v>57</v>
      </c>
      <c r="G234" t="s">
        <v>81</v>
      </c>
      <c r="H234">
        <v>10</v>
      </c>
      <c r="I234">
        <v>28646</v>
      </c>
      <c r="J234">
        <v>286460</v>
      </c>
      <c r="K234">
        <v>158976</v>
      </c>
      <c r="L234">
        <v>29441</v>
      </c>
      <c r="M234">
        <v>98043</v>
      </c>
      <c r="N234">
        <v>32</v>
      </c>
      <c r="O234" t="s">
        <v>27</v>
      </c>
      <c r="P234" t="s">
        <v>28</v>
      </c>
      <c r="Q234" s="1">
        <v>45165</v>
      </c>
      <c r="R234" s="1">
        <v>45108</v>
      </c>
      <c r="S234" t="s">
        <v>92</v>
      </c>
      <c r="T234" s="1">
        <v>45139</v>
      </c>
      <c r="U234">
        <v>2023</v>
      </c>
    </row>
    <row r="235" spans="1:21" x14ac:dyDescent="0.3">
      <c r="A235" t="s">
        <v>345</v>
      </c>
      <c r="B235" t="s">
        <v>37</v>
      </c>
      <c r="C235" t="s">
        <v>38</v>
      </c>
      <c r="D235" t="s">
        <v>209</v>
      </c>
      <c r="E235" s="1">
        <v>45183</v>
      </c>
      <c r="F235" t="s">
        <v>25</v>
      </c>
      <c r="G235" t="s">
        <v>81</v>
      </c>
      <c r="H235">
        <v>10</v>
      </c>
      <c r="I235">
        <v>39943</v>
      </c>
      <c r="J235">
        <v>399430</v>
      </c>
      <c r="K235">
        <v>161146</v>
      </c>
      <c r="L235">
        <v>51693</v>
      </c>
      <c r="M235">
        <v>186591</v>
      </c>
      <c r="N235">
        <v>50</v>
      </c>
      <c r="O235" t="s">
        <v>27</v>
      </c>
      <c r="P235" t="s">
        <v>84</v>
      </c>
      <c r="Q235" s="1">
        <v>45179</v>
      </c>
      <c r="R235" s="1">
        <v>45108</v>
      </c>
      <c r="S235" t="s">
        <v>104</v>
      </c>
      <c r="T235" s="1">
        <v>45170</v>
      </c>
      <c r="U235">
        <v>2023</v>
      </c>
    </row>
    <row r="236" spans="1:21" x14ac:dyDescent="0.3">
      <c r="A236" t="s">
        <v>346</v>
      </c>
      <c r="B236" t="s">
        <v>31</v>
      </c>
      <c r="C236" t="s">
        <v>23</v>
      </c>
      <c r="D236" t="s">
        <v>32</v>
      </c>
      <c r="E236" s="1">
        <v>44929</v>
      </c>
      <c r="F236" t="s">
        <v>57</v>
      </c>
      <c r="G236" t="s">
        <v>64</v>
      </c>
      <c r="H236">
        <v>6</v>
      </c>
      <c r="I236">
        <v>13720</v>
      </c>
      <c r="J236">
        <v>82320</v>
      </c>
      <c r="K236">
        <v>42715</v>
      </c>
      <c r="L236">
        <v>14660</v>
      </c>
      <c r="M236">
        <v>24945</v>
      </c>
      <c r="N236">
        <v>19</v>
      </c>
      <c r="O236" t="s">
        <v>61</v>
      </c>
      <c r="P236" t="s">
        <v>62</v>
      </c>
      <c r="Q236" s="1">
        <v>44927</v>
      </c>
      <c r="R236" s="1">
        <v>44927</v>
      </c>
      <c r="S236" t="s">
        <v>95</v>
      </c>
      <c r="T236" s="1">
        <v>44927</v>
      </c>
      <c r="U236">
        <v>2023</v>
      </c>
    </row>
    <row r="237" spans="1:21" x14ac:dyDescent="0.3">
      <c r="A237" t="s">
        <v>347</v>
      </c>
      <c r="B237" t="s">
        <v>31</v>
      </c>
      <c r="C237" t="s">
        <v>23</v>
      </c>
      <c r="D237" t="s">
        <v>70</v>
      </c>
      <c r="E237" s="1">
        <v>45115</v>
      </c>
      <c r="F237" t="s">
        <v>40</v>
      </c>
      <c r="G237" t="s">
        <v>64</v>
      </c>
      <c r="H237">
        <v>10</v>
      </c>
      <c r="I237">
        <v>58231</v>
      </c>
      <c r="J237">
        <v>582310</v>
      </c>
      <c r="K237">
        <v>272727</v>
      </c>
      <c r="L237">
        <v>103063</v>
      </c>
      <c r="M237">
        <v>206520</v>
      </c>
      <c r="N237">
        <v>27</v>
      </c>
      <c r="O237" t="s">
        <v>50</v>
      </c>
      <c r="P237" t="s">
        <v>67</v>
      </c>
      <c r="Q237" s="1">
        <v>45109</v>
      </c>
      <c r="R237" s="1">
        <v>45108</v>
      </c>
      <c r="S237" t="s">
        <v>29</v>
      </c>
      <c r="T237" s="1">
        <v>45108</v>
      </c>
      <c r="U237">
        <v>2023</v>
      </c>
    </row>
    <row r="238" spans="1:21" x14ac:dyDescent="0.3">
      <c r="A238" t="s">
        <v>348</v>
      </c>
      <c r="B238" t="s">
        <v>72</v>
      </c>
      <c r="C238" t="s">
        <v>47</v>
      </c>
      <c r="D238" t="s">
        <v>209</v>
      </c>
      <c r="E238" s="1">
        <v>45026</v>
      </c>
      <c r="F238" t="s">
        <v>57</v>
      </c>
      <c r="G238" t="s">
        <v>26</v>
      </c>
      <c r="H238">
        <v>8</v>
      </c>
      <c r="I238">
        <v>66734</v>
      </c>
      <c r="J238">
        <v>533872</v>
      </c>
      <c r="K238">
        <v>236790</v>
      </c>
      <c r="L238">
        <v>80968</v>
      </c>
      <c r="M238">
        <v>216114</v>
      </c>
      <c r="N238">
        <v>35</v>
      </c>
      <c r="O238" t="s">
        <v>61</v>
      </c>
      <c r="P238" t="s">
        <v>51</v>
      </c>
      <c r="Q238" s="1">
        <v>45025</v>
      </c>
      <c r="R238" s="1">
        <v>45017</v>
      </c>
      <c r="S238" t="s">
        <v>74</v>
      </c>
      <c r="T238" s="1">
        <v>45017</v>
      </c>
      <c r="U238">
        <v>2023</v>
      </c>
    </row>
    <row r="239" spans="1:21" x14ac:dyDescent="0.3">
      <c r="A239" t="s">
        <v>349</v>
      </c>
      <c r="B239" t="s">
        <v>37</v>
      </c>
      <c r="C239" t="s">
        <v>38</v>
      </c>
      <c r="D239" t="s">
        <v>70</v>
      </c>
      <c r="E239" s="1">
        <v>45142</v>
      </c>
      <c r="F239" t="s">
        <v>40</v>
      </c>
      <c r="G239" t="s">
        <v>64</v>
      </c>
      <c r="H239">
        <v>9</v>
      </c>
      <c r="I239">
        <v>42004</v>
      </c>
      <c r="J239">
        <v>378036</v>
      </c>
      <c r="K239">
        <v>158467</v>
      </c>
      <c r="L239">
        <v>38015</v>
      </c>
      <c r="M239">
        <v>181554</v>
      </c>
      <c r="N239">
        <v>17</v>
      </c>
      <c r="O239" t="s">
        <v>27</v>
      </c>
      <c r="P239" t="s">
        <v>99</v>
      </c>
      <c r="Q239" s="1">
        <v>45137</v>
      </c>
      <c r="R239" s="1">
        <v>45108</v>
      </c>
      <c r="S239" t="s">
        <v>92</v>
      </c>
      <c r="T239" s="1">
        <v>45139</v>
      </c>
      <c r="U239">
        <v>2023</v>
      </c>
    </row>
    <row r="240" spans="1:21" x14ac:dyDescent="0.3">
      <c r="A240" t="s">
        <v>350</v>
      </c>
      <c r="B240" t="s">
        <v>72</v>
      </c>
      <c r="C240" t="s">
        <v>47</v>
      </c>
      <c r="D240" t="s">
        <v>135</v>
      </c>
      <c r="E240" s="1">
        <v>45031</v>
      </c>
      <c r="F240" t="s">
        <v>49</v>
      </c>
      <c r="G240" t="s">
        <v>81</v>
      </c>
      <c r="H240">
        <v>8</v>
      </c>
      <c r="I240">
        <v>29346</v>
      </c>
      <c r="J240">
        <v>234768</v>
      </c>
      <c r="K240">
        <v>127217</v>
      </c>
      <c r="L240">
        <v>35759</v>
      </c>
      <c r="M240">
        <v>71792</v>
      </c>
      <c r="N240">
        <v>17</v>
      </c>
      <c r="O240" t="s">
        <v>42</v>
      </c>
      <c r="P240" t="s">
        <v>67</v>
      </c>
      <c r="Q240" s="1">
        <v>45025</v>
      </c>
      <c r="R240" s="1">
        <v>45017</v>
      </c>
      <c r="S240" t="s">
        <v>74</v>
      </c>
      <c r="T240" s="1">
        <v>45017</v>
      </c>
      <c r="U240">
        <v>2023</v>
      </c>
    </row>
    <row r="241" spans="1:21" x14ac:dyDescent="0.3">
      <c r="A241" t="s">
        <v>351</v>
      </c>
      <c r="B241" t="s">
        <v>37</v>
      </c>
      <c r="C241" t="s">
        <v>38</v>
      </c>
      <c r="D241" t="s">
        <v>174</v>
      </c>
      <c r="E241" s="1">
        <v>45075</v>
      </c>
      <c r="F241" t="s">
        <v>40</v>
      </c>
      <c r="G241" t="s">
        <v>33</v>
      </c>
      <c r="H241">
        <v>8</v>
      </c>
      <c r="I241">
        <v>24441</v>
      </c>
      <c r="J241">
        <v>195528</v>
      </c>
      <c r="K241">
        <v>107893</v>
      </c>
      <c r="L241">
        <v>33174</v>
      </c>
      <c r="M241">
        <v>54461</v>
      </c>
      <c r="N241">
        <v>39</v>
      </c>
      <c r="O241" t="s">
        <v>61</v>
      </c>
      <c r="P241" t="s">
        <v>51</v>
      </c>
      <c r="Q241" s="1">
        <v>45074</v>
      </c>
      <c r="R241" s="1">
        <v>45017</v>
      </c>
      <c r="S241" t="s">
        <v>68</v>
      </c>
      <c r="T241" s="1">
        <v>45047</v>
      </c>
      <c r="U241">
        <v>2023</v>
      </c>
    </row>
    <row r="242" spans="1:21" x14ac:dyDescent="0.3">
      <c r="A242" t="s">
        <v>352</v>
      </c>
      <c r="B242" t="s">
        <v>46</v>
      </c>
      <c r="C242" t="s">
        <v>47</v>
      </c>
      <c r="D242" t="s">
        <v>78</v>
      </c>
      <c r="E242" s="1">
        <v>45156</v>
      </c>
      <c r="F242" t="s">
        <v>57</v>
      </c>
      <c r="G242" t="s">
        <v>33</v>
      </c>
      <c r="H242">
        <v>4</v>
      </c>
      <c r="I242">
        <v>55779</v>
      </c>
      <c r="J242">
        <v>223116</v>
      </c>
      <c r="K242">
        <v>96571</v>
      </c>
      <c r="L242">
        <v>29439</v>
      </c>
      <c r="M242">
        <v>97106</v>
      </c>
      <c r="N242">
        <v>8</v>
      </c>
      <c r="O242" t="s">
        <v>50</v>
      </c>
      <c r="P242" t="s">
        <v>99</v>
      </c>
      <c r="Q242" s="1">
        <v>45151</v>
      </c>
      <c r="R242" s="1">
        <v>45108</v>
      </c>
      <c r="S242" t="s">
        <v>92</v>
      </c>
      <c r="T242" s="1">
        <v>45139</v>
      </c>
      <c r="U242">
        <v>2023</v>
      </c>
    </row>
    <row r="243" spans="1:21" x14ac:dyDescent="0.3">
      <c r="A243" t="s">
        <v>353</v>
      </c>
      <c r="B243" t="s">
        <v>46</v>
      </c>
      <c r="C243" t="s">
        <v>47</v>
      </c>
      <c r="D243" t="s">
        <v>128</v>
      </c>
      <c r="E243" s="1">
        <v>45198</v>
      </c>
      <c r="F243" t="s">
        <v>49</v>
      </c>
      <c r="G243" t="s">
        <v>41</v>
      </c>
      <c r="H243">
        <v>3</v>
      </c>
      <c r="I243">
        <v>3227</v>
      </c>
      <c r="J243">
        <v>9681</v>
      </c>
      <c r="K243">
        <v>5659</v>
      </c>
      <c r="L243">
        <v>1909</v>
      </c>
      <c r="M243">
        <v>2113</v>
      </c>
      <c r="N243">
        <v>44</v>
      </c>
      <c r="O243" t="s">
        <v>34</v>
      </c>
      <c r="P243" t="s">
        <v>99</v>
      </c>
      <c r="Q243" s="1">
        <v>45193</v>
      </c>
      <c r="R243" s="1">
        <v>45108</v>
      </c>
      <c r="S243" t="s">
        <v>104</v>
      </c>
      <c r="T243" s="1">
        <v>45170</v>
      </c>
      <c r="U243">
        <v>2023</v>
      </c>
    </row>
    <row r="244" spans="1:21" x14ac:dyDescent="0.3">
      <c r="A244" t="s">
        <v>354</v>
      </c>
      <c r="B244" t="s">
        <v>31</v>
      </c>
      <c r="C244" t="s">
        <v>23</v>
      </c>
      <c r="D244" t="s">
        <v>135</v>
      </c>
      <c r="E244" s="1">
        <v>45075</v>
      </c>
      <c r="F244" t="s">
        <v>57</v>
      </c>
      <c r="G244" t="s">
        <v>41</v>
      </c>
      <c r="H244">
        <v>9</v>
      </c>
      <c r="I244">
        <v>31850</v>
      </c>
      <c r="J244">
        <v>286650</v>
      </c>
      <c r="K244">
        <v>153274</v>
      </c>
      <c r="L244">
        <v>34956</v>
      </c>
      <c r="M244">
        <v>98420</v>
      </c>
      <c r="N244">
        <v>10</v>
      </c>
      <c r="O244" t="s">
        <v>42</v>
      </c>
      <c r="P244" t="s">
        <v>51</v>
      </c>
      <c r="Q244" s="1">
        <v>45074</v>
      </c>
      <c r="R244" s="1">
        <v>45017</v>
      </c>
      <c r="S244" t="s">
        <v>68</v>
      </c>
      <c r="T244" s="1">
        <v>45047</v>
      </c>
      <c r="U244">
        <v>2023</v>
      </c>
    </row>
    <row r="245" spans="1:21" x14ac:dyDescent="0.3">
      <c r="A245" t="s">
        <v>355</v>
      </c>
      <c r="B245" t="s">
        <v>22</v>
      </c>
      <c r="C245" t="s">
        <v>23</v>
      </c>
      <c r="D245" t="s">
        <v>301</v>
      </c>
      <c r="E245" s="1">
        <v>45227</v>
      </c>
      <c r="F245" t="s">
        <v>40</v>
      </c>
      <c r="G245" t="s">
        <v>58</v>
      </c>
      <c r="H245">
        <v>10</v>
      </c>
      <c r="I245">
        <v>31759</v>
      </c>
      <c r="J245">
        <v>317590</v>
      </c>
      <c r="K245">
        <v>122555</v>
      </c>
      <c r="L245">
        <v>55722</v>
      </c>
      <c r="M245">
        <v>139313</v>
      </c>
      <c r="N245">
        <v>4</v>
      </c>
      <c r="O245" t="s">
        <v>34</v>
      </c>
      <c r="P245" t="s">
        <v>67</v>
      </c>
      <c r="Q245" s="1">
        <v>45221</v>
      </c>
      <c r="R245" s="1">
        <v>45200</v>
      </c>
      <c r="S245" t="s">
        <v>52</v>
      </c>
      <c r="T245" s="1">
        <v>45200</v>
      </c>
      <c r="U245">
        <v>2023</v>
      </c>
    </row>
    <row r="246" spans="1:21" x14ac:dyDescent="0.3">
      <c r="A246" t="s">
        <v>356</v>
      </c>
      <c r="B246" t="s">
        <v>72</v>
      </c>
      <c r="C246" t="s">
        <v>47</v>
      </c>
      <c r="D246" t="s">
        <v>176</v>
      </c>
      <c r="E246" s="1">
        <v>45156</v>
      </c>
      <c r="F246" t="s">
        <v>57</v>
      </c>
      <c r="G246" t="s">
        <v>81</v>
      </c>
      <c r="H246">
        <v>6</v>
      </c>
      <c r="I246">
        <v>28403</v>
      </c>
      <c r="J246">
        <v>170418</v>
      </c>
      <c r="K246">
        <v>78402</v>
      </c>
      <c r="L246">
        <v>21393</v>
      </c>
      <c r="M246">
        <v>70623</v>
      </c>
      <c r="N246">
        <v>25</v>
      </c>
      <c r="O246" t="s">
        <v>50</v>
      </c>
      <c r="P246" t="s">
        <v>99</v>
      </c>
      <c r="Q246" s="1">
        <v>45151</v>
      </c>
      <c r="R246" s="1">
        <v>45108</v>
      </c>
      <c r="S246" t="s">
        <v>92</v>
      </c>
      <c r="T246" s="1">
        <v>45139</v>
      </c>
      <c r="U246">
        <v>2023</v>
      </c>
    </row>
    <row r="247" spans="1:21" x14ac:dyDescent="0.3">
      <c r="A247" t="s">
        <v>357</v>
      </c>
      <c r="B247" t="s">
        <v>72</v>
      </c>
      <c r="C247" t="s">
        <v>47</v>
      </c>
      <c r="D247" t="s">
        <v>78</v>
      </c>
      <c r="E247" s="1">
        <v>45051</v>
      </c>
      <c r="F247" t="s">
        <v>49</v>
      </c>
      <c r="G247" t="s">
        <v>64</v>
      </c>
      <c r="H247">
        <v>4</v>
      </c>
      <c r="I247">
        <v>56693</v>
      </c>
      <c r="J247">
        <v>226772</v>
      </c>
      <c r="K247">
        <v>111123</v>
      </c>
      <c r="L247">
        <v>25287</v>
      </c>
      <c r="M247">
        <v>90362</v>
      </c>
      <c r="N247">
        <v>31</v>
      </c>
      <c r="O247" t="s">
        <v>61</v>
      </c>
      <c r="P247" t="s">
        <v>99</v>
      </c>
      <c r="Q247" s="1">
        <v>45046</v>
      </c>
      <c r="R247" s="1">
        <v>45017</v>
      </c>
      <c r="S247" t="s">
        <v>68</v>
      </c>
      <c r="T247" s="1">
        <v>45047</v>
      </c>
      <c r="U247">
        <v>2023</v>
      </c>
    </row>
    <row r="248" spans="1:21" x14ac:dyDescent="0.3">
      <c r="A248" t="s">
        <v>358</v>
      </c>
      <c r="B248" t="s">
        <v>31</v>
      </c>
      <c r="C248" t="s">
        <v>23</v>
      </c>
      <c r="D248" t="s">
        <v>125</v>
      </c>
      <c r="E248" s="1">
        <v>45202</v>
      </c>
      <c r="F248" t="s">
        <v>40</v>
      </c>
      <c r="G248" t="s">
        <v>26</v>
      </c>
      <c r="H248">
        <v>10</v>
      </c>
      <c r="I248">
        <v>28511</v>
      </c>
      <c r="J248">
        <v>285110</v>
      </c>
      <c r="K248">
        <v>97554</v>
      </c>
      <c r="L248">
        <v>51056</v>
      </c>
      <c r="M248">
        <v>136500</v>
      </c>
      <c r="N248">
        <v>30</v>
      </c>
      <c r="O248" t="s">
        <v>34</v>
      </c>
      <c r="P248" t="s">
        <v>62</v>
      </c>
      <c r="Q248" s="1">
        <v>45200</v>
      </c>
      <c r="R248" s="1">
        <v>45200</v>
      </c>
      <c r="S248" t="s">
        <v>52</v>
      </c>
      <c r="T248" s="1">
        <v>45200</v>
      </c>
      <c r="U248">
        <v>2023</v>
      </c>
    </row>
    <row r="249" spans="1:21" x14ac:dyDescent="0.3">
      <c r="A249" t="s">
        <v>359</v>
      </c>
      <c r="B249" t="s">
        <v>37</v>
      </c>
      <c r="C249" t="s">
        <v>38</v>
      </c>
      <c r="D249" t="s">
        <v>145</v>
      </c>
      <c r="E249" s="1">
        <v>45220</v>
      </c>
      <c r="F249" t="s">
        <v>40</v>
      </c>
      <c r="G249" t="s">
        <v>33</v>
      </c>
      <c r="H249">
        <v>7</v>
      </c>
      <c r="I249">
        <v>42897</v>
      </c>
      <c r="J249">
        <v>300279</v>
      </c>
      <c r="K249">
        <v>128245</v>
      </c>
      <c r="L249">
        <v>47899</v>
      </c>
      <c r="M249">
        <v>124135</v>
      </c>
      <c r="N249">
        <v>18</v>
      </c>
      <c r="O249" t="s">
        <v>34</v>
      </c>
      <c r="P249" t="s">
        <v>67</v>
      </c>
      <c r="Q249" s="1">
        <v>45214</v>
      </c>
      <c r="R249" s="1">
        <v>45200</v>
      </c>
      <c r="S249" t="s">
        <v>52</v>
      </c>
      <c r="T249" s="1">
        <v>45200</v>
      </c>
      <c r="U249">
        <v>2023</v>
      </c>
    </row>
    <row r="250" spans="1:21" x14ac:dyDescent="0.3">
      <c r="A250" t="s">
        <v>360</v>
      </c>
      <c r="B250" t="s">
        <v>37</v>
      </c>
      <c r="C250" t="s">
        <v>38</v>
      </c>
      <c r="D250" t="s">
        <v>152</v>
      </c>
      <c r="E250" s="1">
        <v>44973</v>
      </c>
      <c r="F250" t="s">
        <v>25</v>
      </c>
      <c r="G250" t="s">
        <v>26</v>
      </c>
      <c r="H250">
        <v>7</v>
      </c>
      <c r="I250">
        <v>16027</v>
      </c>
      <c r="J250">
        <v>112189</v>
      </c>
      <c r="K250">
        <v>60150</v>
      </c>
      <c r="L250">
        <v>15182</v>
      </c>
      <c r="M250">
        <v>36857</v>
      </c>
      <c r="N250">
        <v>35</v>
      </c>
      <c r="O250" t="s">
        <v>50</v>
      </c>
      <c r="P250" t="s">
        <v>84</v>
      </c>
      <c r="Q250" s="1">
        <v>44969</v>
      </c>
      <c r="R250" s="1">
        <v>44927</v>
      </c>
      <c r="S250" t="s">
        <v>85</v>
      </c>
      <c r="T250" s="1">
        <v>44958</v>
      </c>
      <c r="U250">
        <v>2023</v>
      </c>
    </row>
    <row r="251" spans="1:21" x14ac:dyDescent="0.3">
      <c r="A251" t="s">
        <v>361</v>
      </c>
      <c r="B251" t="s">
        <v>46</v>
      </c>
      <c r="C251" t="s">
        <v>47</v>
      </c>
      <c r="D251" t="s">
        <v>89</v>
      </c>
      <c r="E251" s="1">
        <v>45197</v>
      </c>
      <c r="F251" t="s">
        <v>49</v>
      </c>
      <c r="G251" t="s">
        <v>81</v>
      </c>
      <c r="H251">
        <v>4</v>
      </c>
      <c r="I251">
        <v>68413</v>
      </c>
      <c r="J251">
        <v>273652</v>
      </c>
      <c r="K251">
        <v>84316</v>
      </c>
      <c r="L251">
        <v>47473</v>
      </c>
      <c r="M251">
        <v>141863</v>
      </c>
      <c r="N251">
        <v>31</v>
      </c>
      <c r="O251" t="s">
        <v>27</v>
      </c>
      <c r="P251" t="s">
        <v>84</v>
      </c>
      <c r="Q251" s="1">
        <v>45193</v>
      </c>
      <c r="R251" s="1">
        <v>45108</v>
      </c>
      <c r="S251" t="s">
        <v>104</v>
      </c>
      <c r="T251" s="1">
        <v>45170</v>
      </c>
      <c r="U251">
        <v>2023</v>
      </c>
    </row>
    <row r="252" spans="1:21" x14ac:dyDescent="0.3">
      <c r="A252" t="s">
        <v>362</v>
      </c>
      <c r="B252" t="s">
        <v>31</v>
      </c>
      <c r="C252" t="s">
        <v>23</v>
      </c>
      <c r="D252" t="s">
        <v>152</v>
      </c>
      <c r="E252" s="1">
        <v>44961</v>
      </c>
      <c r="F252" t="s">
        <v>49</v>
      </c>
      <c r="G252" t="s">
        <v>98</v>
      </c>
      <c r="H252">
        <v>7</v>
      </c>
      <c r="I252">
        <v>19294</v>
      </c>
      <c r="J252">
        <v>135058</v>
      </c>
      <c r="K252">
        <v>75540</v>
      </c>
      <c r="L252">
        <v>24597</v>
      </c>
      <c r="M252">
        <v>34921</v>
      </c>
      <c r="N252">
        <v>46</v>
      </c>
      <c r="O252" t="s">
        <v>27</v>
      </c>
      <c r="P252" t="s">
        <v>67</v>
      </c>
      <c r="Q252" s="1">
        <v>44955</v>
      </c>
      <c r="R252" s="1">
        <v>44927</v>
      </c>
      <c r="S252" t="s">
        <v>85</v>
      </c>
      <c r="T252" s="1">
        <v>44958</v>
      </c>
      <c r="U252">
        <v>2023</v>
      </c>
    </row>
    <row r="253" spans="1:21" x14ac:dyDescent="0.3">
      <c r="A253" t="s">
        <v>363</v>
      </c>
      <c r="B253" t="s">
        <v>22</v>
      </c>
      <c r="C253" t="s">
        <v>23</v>
      </c>
      <c r="D253" t="s">
        <v>148</v>
      </c>
      <c r="E253" s="1">
        <v>45052</v>
      </c>
      <c r="F253" t="s">
        <v>25</v>
      </c>
      <c r="G253" t="s">
        <v>33</v>
      </c>
      <c r="H253">
        <v>1</v>
      </c>
      <c r="I253">
        <v>13393</v>
      </c>
      <c r="J253">
        <v>13393</v>
      </c>
      <c r="K253">
        <v>5318</v>
      </c>
      <c r="L253">
        <v>2577</v>
      </c>
      <c r="M253">
        <v>5498</v>
      </c>
      <c r="N253">
        <v>25</v>
      </c>
      <c r="O253" t="s">
        <v>50</v>
      </c>
      <c r="P253" t="s">
        <v>67</v>
      </c>
      <c r="Q253" s="1">
        <v>45046</v>
      </c>
      <c r="R253" s="1">
        <v>45017</v>
      </c>
      <c r="S253" t="s">
        <v>68</v>
      </c>
      <c r="T253" s="1">
        <v>45047</v>
      </c>
      <c r="U253">
        <v>2023</v>
      </c>
    </row>
    <row r="254" spans="1:21" x14ac:dyDescent="0.3">
      <c r="A254" t="s">
        <v>364</v>
      </c>
      <c r="B254" t="s">
        <v>37</v>
      </c>
      <c r="C254" t="s">
        <v>38</v>
      </c>
      <c r="D254" t="s">
        <v>190</v>
      </c>
      <c r="E254" s="1">
        <v>45232</v>
      </c>
      <c r="F254" t="s">
        <v>49</v>
      </c>
      <c r="G254" t="s">
        <v>81</v>
      </c>
      <c r="H254">
        <v>2</v>
      </c>
      <c r="I254">
        <v>62462</v>
      </c>
      <c r="J254">
        <v>124924</v>
      </c>
      <c r="K254">
        <v>44297</v>
      </c>
      <c r="L254">
        <v>21186</v>
      </c>
      <c r="M254">
        <v>59441</v>
      </c>
      <c r="N254">
        <v>9</v>
      </c>
      <c r="O254" t="s">
        <v>27</v>
      </c>
      <c r="P254" t="s">
        <v>84</v>
      </c>
      <c r="Q254" s="1">
        <v>45228</v>
      </c>
      <c r="R254" s="1">
        <v>45200</v>
      </c>
      <c r="S254" t="s">
        <v>138</v>
      </c>
      <c r="T254" s="1">
        <v>45231</v>
      </c>
      <c r="U254">
        <v>2023</v>
      </c>
    </row>
    <row r="255" spans="1:21" x14ac:dyDescent="0.3">
      <c r="A255" t="s">
        <v>365</v>
      </c>
      <c r="B255" t="s">
        <v>37</v>
      </c>
      <c r="C255" t="s">
        <v>38</v>
      </c>
      <c r="D255" t="s">
        <v>137</v>
      </c>
      <c r="E255" s="1">
        <v>44948</v>
      </c>
      <c r="F255" t="s">
        <v>40</v>
      </c>
      <c r="G255" t="s">
        <v>26</v>
      </c>
      <c r="H255">
        <v>3</v>
      </c>
      <c r="I255">
        <v>44487</v>
      </c>
      <c r="J255">
        <v>133461</v>
      </c>
      <c r="K255">
        <v>60798</v>
      </c>
      <c r="L255">
        <v>20888</v>
      </c>
      <c r="M255">
        <v>51775</v>
      </c>
      <c r="N255">
        <v>10</v>
      </c>
      <c r="O255" t="s">
        <v>50</v>
      </c>
      <c r="P255" t="s">
        <v>28</v>
      </c>
      <c r="Q255" s="1">
        <v>44948</v>
      </c>
      <c r="R255" s="1">
        <v>44927</v>
      </c>
      <c r="S255" t="s">
        <v>95</v>
      </c>
      <c r="T255" s="1">
        <v>44927</v>
      </c>
      <c r="U255">
        <v>2023</v>
      </c>
    </row>
    <row r="256" spans="1:21" x14ac:dyDescent="0.3">
      <c r="A256" t="s">
        <v>366</v>
      </c>
      <c r="B256" t="s">
        <v>22</v>
      </c>
      <c r="C256" t="s">
        <v>23</v>
      </c>
      <c r="D256" t="s">
        <v>54</v>
      </c>
      <c r="E256" s="1">
        <v>45188</v>
      </c>
      <c r="F256" t="s">
        <v>40</v>
      </c>
      <c r="G256" t="s">
        <v>41</v>
      </c>
      <c r="H256">
        <v>9</v>
      </c>
      <c r="I256">
        <v>26228</v>
      </c>
      <c r="J256">
        <v>236052</v>
      </c>
      <c r="K256">
        <v>138140</v>
      </c>
      <c r="L256">
        <v>37372</v>
      </c>
      <c r="M256">
        <v>60540</v>
      </c>
      <c r="N256">
        <v>13</v>
      </c>
      <c r="O256" t="s">
        <v>61</v>
      </c>
      <c r="P256" t="s">
        <v>62</v>
      </c>
      <c r="Q256" s="1">
        <v>45186</v>
      </c>
      <c r="R256" s="1">
        <v>45108</v>
      </c>
      <c r="S256" t="s">
        <v>104</v>
      </c>
      <c r="T256" s="1">
        <v>45170</v>
      </c>
      <c r="U256">
        <v>2023</v>
      </c>
    </row>
    <row r="257" spans="1:21" x14ac:dyDescent="0.3">
      <c r="A257" t="s">
        <v>367</v>
      </c>
      <c r="B257" t="s">
        <v>72</v>
      </c>
      <c r="C257" t="s">
        <v>47</v>
      </c>
      <c r="D257" t="s">
        <v>137</v>
      </c>
      <c r="E257" s="1">
        <v>45117</v>
      </c>
      <c r="F257" t="s">
        <v>57</v>
      </c>
      <c r="G257" t="s">
        <v>64</v>
      </c>
      <c r="H257">
        <v>7</v>
      </c>
      <c r="I257">
        <v>63009</v>
      </c>
      <c r="J257">
        <v>441063</v>
      </c>
      <c r="K257">
        <v>215886</v>
      </c>
      <c r="L257">
        <v>69603</v>
      </c>
      <c r="M257">
        <v>155574</v>
      </c>
      <c r="N257">
        <v>18</v>
      </c>
      <c r="O257" t="s">
        <v>61</v>
      </c>
      <c r="P257" t="s">
        <v>51</v>
      </c>
      <c r="Q257" s="1">
        <v>45116</v>
      </c>
      <c r="R257" s="1">
        <v>45108</v>
      </c>
      <c r="S257" t="s">
        <v>29</v>
      </c>
      <c r="T257" s="1">
        <v>45108</v>
      </c>
      <c r="U257">
        <v>2023</v>
      </c>
    </row>
    <row r="258" spans="1:21" x14ac:dyDescent="0.3">
      <c r="A258" t="s">
        <v>368</v>
      </c>
      <c r="B258" t="s">
        <v>37</v>
      </c>
      <c r="C258" t="s">
        <v>38</v>
      </c>
      <c r="D258" t="s">
        <v>24</v>
      </c>
      <c r="E258" s="1">
        <v>45164</v>
      </c>
      <c r="F258" t="s">
        <v>49</v>
      </c>
      <c r="G258" t="s">
        <v>58</v>
      </c>
      <c r="H258">
        <v>9</v>
      </c>
      <c r="I258">
        <v>26372</v>
      </c>
      <c r="J258">
        <v>237348</v>
      </c>
      <c r="K258">
        <v>78113</v>
      </c>
      <c r="L258">
        <v>36468</v>
      </c>
      <c r="M258">
        <v>122767</v>
      </c>
      <c r="N258">
        <v>2</v>
      </c>
      <c r="O258" t="s">
        <v>61</v>
      </c>
      <c r="P258" t="s">
        <v>67</v>
      </c>
      <c r="Q258" s="1">
        <v>45158</v>
      </c>
      <c r="R258" s="1">
        <v>45108</v>
      </c>
      <c r="S258" t="s">
        <v>92</v>
      </c>
      <c r="T258" s="1">
        <v>45139</v>
      </c>
      <c r="U258">
        <v>2023</v>
      </c>
    </row>
    <row r="259" spans="1:21" x14ac:dyDescent="0.3">
      <c r="A259" t="s">
        <v>369</v>
      </c>
      <c r="B259" t="s">
        <v>37</v>
      </c>
      <c r="C259" t="s">
        <v>38</v>
      </c>
      <c r="D259" t="s">
        <v>301</v>
      </c>
      <c r="E259" s="1">
        <v>44992</v>
      </c>
      <c r="F259" t="s">
        <v>25</v>
      </c>
      <c r="G259" t="s">
        <v>64</v>
      </c>
      <c r="H259">
        <v>6</v>
      </c>
      <c r="I259">
        <v>48071</v>
      </c>
      <c r="J259">
        <v>288426</v>
      </c>
      <c r="K259">
        <v>89447</v>
      </c>
      <c r="L259">
        <v>39224</v>
      </c>
      <c r="M259">
        <v>159755</v>
      </c>
      <c r="N259">
        <v>16</v>
      </c>
      <c r="O259" t="s">
        <v>34</v>
      </c>
      <c r="P259" t="s">
        <v>62</v>
      </c>
      <c r="Q259" s="1">
        <v>44990</v>
      </c>
      <c r="R259" s="1">
        <v>44927</v>
      </c>
      <c r="S259" t="s">
        <v>44</v>
      </c>
      <c r="T259" s="1">
        <v>44986</v>
      </c>
      <c r="U259">
        <v>2023</v>
      </c>
    </row>
    <row r="260" spans="1:21" x14ac:dyDescent="0.3">
      <c r="A260" t="s">
        <v>370</v>
      </c>
      <c r="B260" t="s">
        <v>46</v>
      </c>
      <c r="C260" t="s">
        <v>47</v>
      </c>
      <c r="D260" t="s">
        <v>168</v>
      </c>
      <c r="E260" s="1">
        <v>45047</v>
      </c>
      <c r="F260" t="s">
        <v>40</v>
      </c>
      <c r="G260" t="s">
        <v>26</v>
      </c>
      <c r="H260">
        <v>3</v>
      </c>
      <c r="I260">
        <v>43442</v>
      </c>
      <c r="J260">
        <v>130326</v>
      </c>
      <c r="K260">
        <v>44210</v>
      </c>
      <c r="L260">
        <v>17042</v>
      </c>
      <c r="M260">
        <v>69074</v>
      </c>
      <c r="N260">
        <v>45</v>
      </c>
      <c r="O260" t="s">
        <v>61</v>
      </c>
      <c r="P260" t="s">
        <v>51</v>
      </c>
      <c r="Q260" s="1">
        <v>45046</v>
      </c>
      <c r="R260" s="1">
        <v>45017</v>
      </c>
      <c r="S260" t="s">
        <v>68</v>
      </c>
      <c r="T260" s="1">
        <v>45047</v>
      </c>
      <c r="U260">
        <v>2023</v>
      </c>
    </row>
    <row r="261" spans="1:21" x14ac:dyDescent="0.3">
      <c r="A261" t="s">
        <v>371</v>
      </c>
      <c r="B261" t="s">
        <v>31</v>
      </c>
      <c r="C261" t="s">
        <v>23</v>
      </c>
      <c r="D261" t="s">
        <v>89</v>
      </c>
      <c r="E261" s="1">
        <v>45101</v>
      </c>
      <c r="F261" t="s">
        <v>40</v>
      </c>
      <c r="G261" t="s">
        <v>98</v>
      </c>
      <c r="H261">
        <v>5</v>
      </c>
      <c r="I261">
        <v>16873</v>
      </c>
      <c r="J261">
        <v>84365</v>
      </c>
      <c r="K261">
        <v>30436</v>
      </c>
      <c r="L261">
        <v>11199</v>
      </c>
      <c r="M261">
        <v>42730</v>
      </c>
      <c r="N261">
        <v>29</v>
      </c>
      <c r="O261" t="s">
        <v>42</v>
      </c>
      <c r="P261" t="s">
        <v>67</v>
      </c>
      <c r="Q261" s="1">
        <v>45095</v>
      </c>
      <c r="R261" s="1">
        <v>45017</v>
      </c>
      <c r="S261" t="s">
        <v>35</v>
      </c>
      <c r="T261" s="1">
        <v>45078</v>
      </c>
      <c r="U261">
        <v>2023</v>
      </c>
    </row>
    <row r="262" spans="1:21" x14ac:dyDescent="0.3">
      <c r="A262" t="s">
        <v>372</v>
      </c>
      <c r="B262" t="s">
        <v>72</v>
      </c>
      <c r="C262" t="s">
        <v>47</v>
      </c>
      <c r="D262" t="s">
        <v>142</v>
      </c>
      <c r="E262" s="1">
        <v>45182</v>
      </c>
      <c r="F262" t="s">
        <v>40</v>
      </c>
      <c r="G262" t="s">
        <v>98</v>
      </c>
      <c r="H262">
        <v>2</v>
      </c>
      <c r="I262">
        <v>4754</v>
      </c>
      <c r="J262">
        <v>9508</v>
      </c>
      <c r="K262">
        <v>3998</v>
      </c>
      <c r="L262">
        <v>1056</v>
      </c>
      <c r="M262">
        <v>4454</v>
      </c>
      <c r="N262">
        <v>1</v>
      </c>
      <c r="O262" t="s">
        <v>61</v>
      </c>
      <c r="P262" t="s">
        <v>43</v>
      </c>
      <c r="Q262" s="1">
        <v>45179</v>
      </c>
      <c r="R262" s="1">
        <v>45108</v>
      </c>
      <c r="S262" t="s">
        <v>104</v>
      </c>
      <c r="T262" s="1">
        <v>45170</v>
      </c>
      <c r="U262">
        <v>2023</v>
      </c>
    </row>
    <row r="263" spans="1:21" x14ac:dyDescent="0.3">
      <c r="A263" t="s">
        <v>373</v>
      </c>
      <c r="B263" t="s">
        <v>46</v>
      </c>
      <c r="C263" t="s">
        <v>47</v>
      </c>
      <c r="D263" t="s">
        <v>301</v>
      </c>
      <c r="E263" s="1">
        <v>45129</v>
      </c>
      <c r="F263" t="s">
        <v>49</v>
      </c>
      <c r="G263" t="s">
        <v>41</v>
      </c>
      <c r="H263">
        <v>5</v>
      </c>
      <c r="I263">
        <v>68119</v>
      </c>
      <c r="J263">
        <v>340595</v>
      </c>
      <c r="K263">
        <v>172769</v>
      </c>
      <c r="L263">
        <v>43918</v>
      </c>
      <c r="M263">
        <v>123908</v>
      </c>
      <c r="N263">
        <v>0</v>
      </c>
      <c r="O263" t="s">
        <v>34</v>
      </c>
      <c r="P263" t="s">
        <v>67</v>
      </c>
      <c r="Q263" s="1">
        <v>45123</v>
      </c>
      <c r="R263" s="1">
        <v>45108</v>
      </c>
      <c r="S263" t="s">
        <v>29</v>
      </c>
      <c r="T263" s="1">
        <v>45108</v>
      </c>
      <c r="U263">
        <v>2023</v>
      </c>
    </row>
    <row r="264" spans="1:21" x14ac:dyDescent="0.3">
      <c r="A264" t="s">
        <v>374</v>
      </c>
      <c r="B264" t="s">
        <v>46</v>
      </c>
      <c r="C264" t="s">
        <v>47</v>
      </c>
      <c r="D264" t="s">
        <v>154</v>
      </c>
      <c r="E264" s="1">
        <v>45200</v>
      </c>
      <c r="F264" t="s">
        <v>25</v>
      </c>
      <c r="G264" t="s">
        <v>98</v>
      </c>
      <c r="H264">
        <v>10</v>
      </c>
      <c r="I264">
        <v>7813</v>
      </c>
      <c r="J264">
        <v>78130</v>
      </c>
      <c r="K264">
        <v>31235</v>
      </c>
      <c r="L264">
        <v>13732</v>
      </c>
      <c r="M264">
        <v>33163</v>
      </c>
      <c r="N264">
        <v>14</v>
      </c>
      <c r="O264" t="s">
        <v>61</v>
      </c>
      <c r="P264" t="s">
        <v>28</v>
      </c>
      <c r="Q264" s="1">
        <v>45200</v>
      </c>
      <c r="R264" s="1">
        <v>45200</v>
      </c>
      <c r="S264" t="s">
        <v>52</v>
      </c>
      <c r="T264" s="1">
        <v>45200</v>
      </c>
      <c r="U264">
        <v>2023</v>
      </c>
    </row>
    <row r="265" spans="1:21" x14ac:dyDescent="0.3">
      <c r="A265" t="s">
        <v>375</v>
      </c>
      <c r="B265" t="s">
        <v>72</v>
      </c>
      <c r="C265" t="s">
        <v>47</v>
      </c>
      <c r="D265" t="s">
        <v>125</v>
      </c>
      <c r="E265" s="1">
        <v>44950</v>
      </c>
      <c r="F265" t="s">
        <v>49</v>
      </c>
      <c r="G265" t="s">
        <v>26</v>
      </c>
      <c r="H265">
        <v>9</v>
      </c>
      <c r="I265">
        <v>60046</v>
      </c>
      <c r="J265">
        <v>540414</v>
      </c>
      <c r="K265">
        <v>186075</v>
      </c>
      <c r="L265">
        <v>80088</v>
      </c>
      <c r="M265">
        <v>274251</v>
      </c>
      <c r="N265">
        <v>31</v>
      </c>
      <c r="O265" t="s">
        <v>42</v>
      </c>
      <c r="P265" t="s">
        <v>62</v>
      </c>
      <c r="Q265" s="1">
        <v>44948</v>
      </c>
      <c r="R265" s="1">
        <v>44927</v>
      </c>
      <c r="S265" t="s">
        <v>95</v>
      </c>
      <c r="T265" s="1">
        <v>44927</v>
      </c>
      <c r="U265">
        <v>2023</v>
      </c>
    </row>
    <row r="266" spans="1:21" x14ac:dyDescent="0.3">
      <c r="A266" t="s">
        <v>376</v>
      </c>
      <c r="B266" t="s">
        <v>72</v>
      </c>
      <c r="C266" t="s">
        <v>47</v>
      </c>
      <c r="D266" t="s">
        <v>101</v>
      </c>
      <c r="E266" s="1">
        <v>45051</v>
      </c>
      <c r="F266" t="s">
        <v>40</v>
      </c>
      <c r="G266" t="s">
        <v>26</v>
      </c>
      <c r="H266">
        <v>3</v>
      </c>
      <c r="I266">
        <v>69036</v>
      </c>
      <c r="J266">
        <v>207108</v>
      </c>
      <c r="K266">
        <v>70996</v>
      </c>
      <c r="L266">
        <v>29543</v>
      </c>
      <c r="M266">
        <v>106569</v>
      </c>
      <c r="N266">
        <v>39</v>
      </c>
      <c r="O266" t="s">
        <v>61</v>
      </c>
      <c r="P266" t="s">
        <v>99</v>
      </c>
      <c r="Q266" s="1">
        <v>45046</v>
      </c>
      <c r="R266" s="1">
        <v>45017</v>
      </c>
      <c r="S266" t="s">
        <v>68</v>
      </c>
      <c r="T266" s="1">
        <v>45047</v>
      </c>
      <c r="U266">
        <v>2023</v>
      </c>
    </row>
    <row r="267" spans="1:21" x14ac:dyDescent="0.3">
      <c r="A267" t="s">
        <v>377</v>
      </c>
      <c r="B267" t="s">
        <v>72</v>
      </c>
      <c r="C267" t="s">
        <v>47</v>
      </c>
      <c r="D267" t="s">
        <v>125</v>
      </c>
      <c r="E267" s="1">
        <v>45201</v>
      </c>
      <c r="F267" t="s">
        <v>40</v>
      </c>
      <c r="G267" t="s">
        <v>98</v>
      </c>
      <c r="H267">
        <v>5</v>
      </c>
      <c r="I267">
        <v>8913</v>
      </c>
      <c r="J267">
        <v>44565</v>
      </c>
      <c r="K267">
        <v>23312</v>
      </c>
      <c r="L267">
        <v>4657</v>
      </c>
      <c r="M267">
        <v>16596</v>
      </c>
      <c r="N267">
        <v>22</v>
      </c>
      <c r="O267" t="s">
        <v>27</v>
      </c>
      <c r="P267" t="s">
        <v>51</v>
      </c>
      <c r="Q267" s="1">
        <v>45200</v>
      </c>
      <c r="R267" s="1">
        <v>45200</v>
      </c>
      <c r="S267" t="s">
        <v>52</v>
      </c>
      <c r="T267" s="1">
        <v>45200</v>
      </c>
      <c r="U267">
        <v>2023</v>
      </c>
    </row>
    <row r="268" spans="1:21" x14ac:dyDescent="0.3">
      <c r="A268" t="s">
        <v>378</v>
      </c>
      <c r="B268" t="s">
        <v>31</v>
      </c>
      <c r="C268" t="s">
        <v>23</v>
      </c>
      <c r="D268" t="s">
        <v>176</v>
      </c>
      <c r="E268" s="1">
        <v>45233</v>
      </c>
      <c r="F268" t="s">
        <v>57</v>
      </c>
      <c r="G268" t="s">
        <v>58</v>
      </c>
      <c r="H268">
        <v>1</v>
      </c>
      <c r="I268">
        <v>6462</v>
      </c>
      <c r="J268">
        <v>6462</v>
      </c>
      <c r="K268">
        <v>3512</v>
      </c>
      <c r="L268">
        <v>1271</v>
      </c>
      <c r="M268">
        <v>1679</v>
      </c>
      <c r="N268">
        <v>30</v>
      </c>
      <c r="O268" t="s">
        <v>34</v>
      </c>
      <c r="P268" t="s">
        <v>99</v>
      </c>
      <c r="Q268" s="1">
        <v>45228</v>
      </c>
      <c r="R268" s="1">
        <v>45200</v>
      </c>
      <c r="S268" t="s">
        <v>138</v>
      </c>
      <c r="T268" s="1">
        <v>45231</v>
      </c>
      <c r="U268">
        <v>2023</v>
      </c>
    </row>
    <row r="269" spans="1:21" x14ac:dyDescent="0.3">
      <c r="A269" t="s">
        <v>379</v>
      </c>
      <c r="B269" t="s">
        <v>31</v>
      </c>
      <c r="C269" t="s">
        <v>23</v>
      </c>
      <c r="D269" t="s">
        <v>60</v>
      </c>
      <c r="E269" s="1">
        <v>44995</v>
      </c>
      <c r="F269" t="s">
        <v>57</v>
      </c>
      <c r="G269" t="s">
        <v>26</v>
      </c>
      <c r="H269">
        <v>2</v>
      </c>
      <c r="I269">
        <v>36503</v>
      </c>
      <c r="J269">
        <v>73006</v>
      </c>
      <c r="K269">
        <v>42293</v>
      </c>
      <c r="L269">
        <v>12259</v>
      </c>
      <c r="M269">
        <v>18454</v>
      </c>
      <c r="N269">
        <v>35</v>
      </c>
      <c r="O269" t="s">
        <v>50</v>
      </c>
      <c r="P269" t="s">
        <v>99</v>
      </c>
      <c r="Q269" s="1">
        <v>44990</v>
      </c>
      <c r="R269" s="1">
        <v>44927</v>
      </c>
      <c r="S269" t="s">
        <v>44</v>
      </c>
      <c r="T269" s="1">
        <v>44986</v>
      </c>
      <c r="U269">
        <v>2023</v>
      </c>
    </row>
    <row r="270" spans="1:21" x14ac:dyDescent="0.3">
      <c r="A270" t="s">
        <v>380</v>
      </c>
      <c r="B270" t="s">
        <v>46</v>
      </c>
      <c r="C270" t="s">
        <v>47</v>
      </c>
      <c r="D270" t="s">
        <v>137</v>
      </c>
      <c r="E270" s="1">
        <v>44975</v>
      </c>
      <c r="F270" t="s">
        <v>40</v>
      </c>
      <c r="G270" t="s">
        <v>41</v>
      </c>
      <c r="H270">
        <v>5</v>
      </c>
      <c r="I270">
        <v>23607</v>
      </c>
      <c r="J270">
        <v>118035</v>
      </c>
      <c r="K270">
        <v>36964</v>
      </c>
      <c r="L270">
        <v>22369</v>
      </c>
      <c r="M270">
        <v>58702</v>
      </c>
      <c r="N270">
        <v>2</v>
      </c>
      <c r="O270" t="s">
        <v>61</v>
      </c>
      <c r="P270" t="s">
        <v>67</v>
      </c>
      <c r="Q270" s="1">
        <v>44969</v>
      </c>
      <c r="R270" s="1">
        <v>44927</v>
      </c>
      <c r="S270" t="s">
        <v>85</v>
      </c>
      <c r="T270" s="1">
        <v>44958</v>
      </c>
      <c r="U270">
        <v>2023</v>
      </c>
    </row>
    <row r="271" spans="1:21" x14ac:dyDescent="0.3">
      <c r="A271" t="s">
        <v>381</v>
      </c>
      <c r="B271" t="s">
        <v>31</v>
      </c>
      <c r="C271" t="s">
        <v>23</v>
      </c>
      <c r="D271" t="s">
        <v>97</v>
      </c>
      <c r="E271" s="1">
        <v>45154</v>
      </c>
      <c r="F271" t="s">
        <v>25</v>
      </c>
      <c r="G271" t="s">
        <v>81</v>
      </c>
      <c r="H271">
        <v>8</v>
      </c>
      <c r="I271">
        <v>25095</v>
      </c>
      <c r="J271">
        <v>200760</v>
      </c>
      <c r="K271">
        <v>92103</v>
      </c>
      <c r="L271">
        <v>28316</v>
      </c>
      <c r="M271">
        <v>80341</v>
      </c>
      <c r="N271">
        <v>32</v>
      </c>
      <c r="O271" t="s">
        <v>34</v>
      </c>
      <c r="P271" t="s">
        <v>43</v>
      </c>
      <c r="Q271" s="1">
        <v>45151</v>
      </c>
      <c r="R271" s="1">
        <v>45108</v>
      </c>
      <c r="S271" t="s">
        <v>92</v>
      </c>
      <c r="T271" s="1">
        <v>45139</v>
      </c>
      <c r="U271">
        <v>2023</v>
      </c>
    </row>
    <row r="272" spans="1:21" x14ac:dyDescent="0.3">
      <c r="A272" t="s">
        <v>382</v>
      </c>
      <c r="B272" t="s">
        <v>72</v>
      </c>
      <c r="C272" t="s">
        <v>47</v>
      </c>
      <c r="D272" t="s">
        <v>145</v>
      </c>
      <c r="E272" s="1">
        <v>44946</v>
      </c>
      <c r="F272" t="s">
        <v>49</v>
      </c>
      <c r="G272" t="s">
        <v>98</v>
      </c>
      <c r="H272">
        <v>9</v>
      </c>
      <c r="I272">
        <v>11237</v>
      </c>
      <c r="J272">
        <v>101133</v>
      </c>
      <c r="K272">
        <v>58816</v>
      </c>
      <c r="L272">
        <v>20057</v>
      </c>
      <c r="M272">
        <v>22260</v>
      </c>
      <c r="N272">
        <v>1</v>
      </c>
      <c r="O272" t="s">
        <v>50</v>
      </c>
      <c r="P272" t="s">
        <v>99</v>
      </c>
      <c r="Q272" s="1">
        <v>44941</v>
      </c>
      <c r="R272" s="1">
        <v>44927</v>
      </c>
      <c r="S272" t="s">
        <v>95</v>
      </c>
      <c r="T272" s="1">
        <v>44927</v>
      </c>
      <c r="U272">
        <v>2023</v>
      </c>
    </row>
    <row r="273" spans="1:21" x14ac:dyDescent="0.3">
      <c r="A273" t="s">
        <v>383</v>
      </c>
      <c r="B273" t="s">
        <v>72</v>
      </c>
      <c r="C273" t="s">
        <v>47</v>
      </c>
      <c r="D273" t="s">
        <v>190</v>
      </c>
      <c r="E273" s="1">
        <v>45233</v>
      </c>
      <c r="F273" t="s">
        <v>49</v>
      </c>
      <c r="G273" t="s">
        <v>26</v>
      </c>
      <c r="H273">
        <v>1</v>
      </c>
      <c r="I273">
        <v>17997</v>
      </c>
      <c r="J273">
        <v>17997</v>
      </c>
      <c r="K273">
        <v>8951</v>
      </c>
      <c r="L273">
        <v>2468</v>
      </c>
      <c r="M273">
        <v>6578</v>
      </c>
      <c r="N273">
        <v>2</v>
      </c>
      <c r="O273" t="s">
        <v>42</v>
      </c>
      <c r="P273" t="s">
        <v>99</v>
      </c>
      <c r="Q273" s="1">
        <v>45228</v>
      </c>
      <c r="R273" s="1">
        <v>45200</v>
      </c>
      <c r="S273" t="s">
        <v>138</v>
      </c>
      <c r="T273" s="1">
        <v>45231</v>
      </c>
      <c r="U273">
        <v>2023</v>
      </c>
    </row>
    <row r="274" spans="1:21" x14ac:dyDescent="0.3">
      <c r="A274" t="s">
        <v>384</v>
      </c>
      <c r="B274" t="s">
        <v>37</v>
      </c>
      <c r="C274" t="s">
        <v>38</v>
      </c>
      <c r="D274" t="s">
        <v>89</v>
      </c>
      <c r="E274" s="1">
        <v>45108</v>
      </c>
      <c r="F274" t="s">
        <v>25</v>
      </c>
      <c r="G274" t="s">
        <v>58</v>
      </c>
      <c r="H274">
        <v>3</v>
      </c>
      <c r="I274">
        <v>60901</v>
      </c>
      <c r="J274">
        <v>182703</v>
      </c>
      <c r="K274">
        <v>106289</v>
      </c>
      <c r="L274">
        <v>18313</v>
      </c>
      <c r="M274">
        <v>58101</v>
      </c>
      <c r="N274">
        <v>46</v>
      </c>
      <c r="O274" t="s">
        <v>50</v>
      </c>
      <c r="P274" t="s">
        <v>67</v>
      </c>
      <c r="Q274" s="1">
        <v>45102</v>
      </c>
      <c r="R274" s="1">
        <v>45108</v>
      </c>
      <c r="S274" t="s">
        <v>29</v>
      </c>
      <c r="T274" s="1">
        <v>45108</v>
      </c>
      <c r="U274">
        <v>2023</v>
      </c>
    </row>
    <row r="275" spans="1:21" x14ac:dyDescent="0.3">
      <c r="A275" t="s">
        <v>385</v>
      </c>
      <c r="B275" t="s">
        <v>31</v>
      </c>
      <c r="C275" t="s">
        <v>23</v>
      </c>
      <c r="D275" t="s">
        <v>301</v>
      </c>
      <c r="E275" s="1">
        <v>45084</v>
      </c>
      <c r="F275" t="s">
        <v>25</v>
      </c>
      <c r="G275" t="s">
        <v>58</v>
      </c>
      <c r="H275">
        <v>10</v>
      </c>
      <c r="I275">
        <v>62424</v>
      </c>
      <c r="J275">
        <v>624240</v>
      </c>
      <c r="K275">
        <v>319367</v>
      </c>
      <c r="L275">
        <v>78747</v>
      </c>
      <c r="M275">
        <v>226126</v>
      </c>
      <c r="N275">
        <v>43</v>
      </c>
      <c r="O275" t="s">
        <v>61</v>
      </c>
      <c r="P275" t="s">
        <v>43</v>
      </c>
      <c r="Q275" s="1">
        <v>45081</v>
      </c>
      <c r="R275" s="1">
        <v>45017</v>
      </c>
      <c r="S275" t="s">
        <v>35</v>
      </c>
      <c r="T275" s="1">
        <v>45078</v>
      </c>
      <c r="U275">
        <v>2023</v>
      </c>
    </row>
    <row r="276" spans="1:21" x14ac:dyDescent="0.3">
      <c r="A276" t="s">
        <v>386</v>
      </c>
      <c r="B276" t="s">
        <v>22</v>
      </c>
      <c r="C276" t="s">
        <v>23</v>
      </c>
      <c r="D276" t="s">
        <v>152</v>
      </c>
      <c r="E276" s="1">
        <v>45250</v>
      </c>
      <c r="F276" t="s">
        <v>25</v>
      </c>
      <c r="G276" t="s">
        <v>98</v>
      </c>
      <c r="H276">
        <v>3</v>
      </c>
      <c r="I276">
        <v>63093</v>
      </c>
      <c r="J276">
        <v>189279</v>
      </c>
      <c r="K276">
        <v>69395</v>
      </c>
      <c r="L276">
        <v>19348</v>
      </c>
      <c r="M276">
        <v>100536</v>
      </c>
      <c r="N276">
        <v>27</v>
      </c>
      <c r="O276" t="s">
        <v>27</v>
      </c>
      <c r="P276" t="s">
        <v>51</v>
      </c>
      <c r="Q276" s="1">
        <v>45249</v>
      </c>
      <c r="R276" s="1">
        <v>45200</v>
      </c>
      <c r="S276" t="s">
        <v>138</v>
      </c>
      <c r="T276" s="1">
        <v>45231</v>
      </c>
      <c r="U276">
        <v>2023</v>
      </c>
    </row>
    <row r="277" spans="1:21" x14ac:dyDescent="0.3">
      <c r="A277" t="s">
        <v>387</v>
      </c>
      <c r="B277" t="s">
        <v>72</v>
      </c>
      <c r="C277" t="s">
        <v>47</v>
      </c>
      <c r="D277" t="s">
        <v>209</v>
      </c>
      <c r="E277" s="1">
        <v>44949</v>
      </c>
      <c r="F277" t="s">
        <v>49</v>
      </c>
      <c r="G277" t="s">
        <v>81</v>
      </c>
      <c r="H277">
        <v>10</v>
      </c>
      <c r="I277">
        <v>6582</v>
      </c>
      <c r="J277">
        <v>65820</v>
      </c>
      <c r="K277">
        <v>31015</v>
      </c>
      <c r="L277">
        <v>8974</v>
      </c>
      <c r="M277">
        <v>25831</v>
      </c>
      <c r="N277">
        <v>34</v>
      </c>
      <c r="O277" t="s">
        <v>42</v>
      </c>
      <c r="P277" t="s">
        <v>51</v>
      </c>
      <c r="Q277" s="1">
        <v>44948</v>
      </c>
      <c r="R277" s="1">
        <v>44927</v>
      </c>
      <c r="S277" t="s">
        <v>95</v>
      </c>
      <c r="T277" s="1">
        <v>44927</v>
      </c>
      <c r="U277">
        <v>2023</v>
      </c>
    </row>
    <row r="278" spans="1:21" x14ac:dyDescent="0.3">
      <c r="A278" t="s">
        <v>388</v>
      </c>
      <c r="B278" t="s">
        <v>37</v>
      </c>
      <c r="C278" t="s">
        <v>38</v>
      </c>
      <c r="D278" t="s">
        <v>137</v>
      </c>
      <c r="E278" s="1">
        <v>45148</v>
      </c>
      <c r="F278" t="s">
        <v>49</v>
      </c>
      <c r="G278" t="s">
        <v>98</v>
      </c>
      <c r="H278">
        <v>7</v>
      </c>
      <c r="I278">
        <v>21588</v>
      </c>
      <c r="J278">
        <v>151116</v>
      </c>
      <c r="K278">
        <v>65753</v>
      </c>
      <c r="L278">
        <v>29401</v>
      </c>
      <c r="M278">
        <v>55962</v>
      </c>
      <c r="N278">
        <v>14</v>
      </c>
      <c r="O278" t="s">
        <v>27</v>
      </c>
      <c r="P278" t="s">
        <v>84</v>
      </c>
      <c r="Q278" s="1">
        <v>45144</v>
      </c>
      <c r="R278" s="1">
        <v>45108</v>
      </c>
      <c r="S278" t="s">
        <v>92</v>
      </c>
      <c r="T278" s="1">
        <v>45139</v>
      </c>
      <c r="U278">
        <v>2023</v>
      </c>
    </row>
    <row r="279" spans="1:21" x14ac:dyDescent="0.3">
      <c r="A279" t="s">
        <v>389</v>
      </c>
      <c r="B279" t="s">
        <v>72</v>
      </c>
      <c r="C279" t="s">
        <v>47</v>
      </c>
      <c r="D279" t="s">
        <v>256</v>
      </c>
      <c r="E279" s="1">
        <v>45200</v>
      </c>
      <c r="F279" t="s">
        <v>40</v>
      </c>
      <c r="G279" t="s">
        <v>81</v>
      </c>
      <c r="H279">
        <v>10</v>
      </c>
      <c r="I279">
        <v>18671</v>
      </c>
      <c r="J279">
        <v>186710</v>
      </c>
      <c r="K279">
        <v>87301</v>
      </c>
      <c r="L279">
        <v>24974</v>
      </c>
      <c r="M279">
        <v>74435</v>
      </c>
      <c r="N279">
        <v>29</v>
      </c>
      <c r="O279" t="s">
        <v>34</v>
      </c>
      <c r="P279" t="s">
        <v>28</v>
      </c>
      <c r="Q279" s="1">
        <v>45200</v>
      </c>
      <c r="R279" s="1">
        <v>45200</v>
      </c>
      <c r="S279" t="s">
        <v>52</v>
      </c>
      <c r="T279" s="1">
        <v>45200</v>
      </c>
      <c r="U279">
        <v>2023</v>
      </c>
    </row>
    <row r="280" spans="1:21" x14ac:dyDescent="0.3">
      <c r="A280" t="s">
        <v>390</v>
      </c>
      <c r="B280" t="s">
        <v>31</v>
      </c>
      <c r="C280" t="s">
        <v>23</v>
      </c>
      <c r="D280" t="s">
        <v>106</v>
      </c>
      <c r="E280" s="1">
        <v>45011</v>
      </c>
      <c r="F280" t="s">
        <v>57</v>
      </c>
      <c r="G280" t="s">
        <v>33</v>
      </c>
      <c r="H280">
        <v>5</v>
      </c>
      <c r="I280">
        <v>19328</v>
      </c>
      <c r="J280">
        <v>96640</v>
      </c>
      <c r="K280">
        <v>56490</v>
      </c>
      <c r="L280">
        <v>12813</v>
      </c>
      <c r="M280">
        <v>27337</v>
      </c>
      <c r="N280">
        <v>28</v>
      </c>
      <c r="O280" t="s">
        <v>42</v>
      </c>
      <c r="P280" t="s">
        <v>28</v>
      </c>
      <c r="Q280" s="1">
        <v>45011</v>
      </c>
      <c r="R280" s="1">
        <v>44927</v>
      </c>
      <c r="S280" t="s">
        <v>44</v>
      </c>
      <c r="T280" s="1">
        <v>44986</v>
      </c>
      <c r="U280">
        <v>2023</v>
      </c>
    </row>
    <row r="281" spans="1:21" x14ac:dyDescent="0.3">
      <c r="A281" t="s">
        <v>391</v>
      </c>
      <c r="B281" t="s">
        <v>46</v>
      </c>
      <c r="C281" t="s">
        <v>47</v>
      </c>
      <c r="D281" t="s">
        <v>101</v>
      </c>
      <c r="E281" s="1">
        <v>44935</v>
      </c>
      <c r="F281" t="s">
        <v>40</v>
      </c>
      <c r="G281" t="s">
        <v>98</v>
      </c>
      <c r="H281">
        <v>10</v>
      </c>
      <c r="I281">
        <v>66619</v>
      </c>
      <c r="J281">
        <v>666190</v>
      </c>
      <c r="K281">
        <v>325557</v>
      </c>
      <c r="L281">
        <v>123459</v>
      </c>
      <c r="M281">
        <v>217174</v>
      </c>
      <c r="N281">
        <v>49</v>
      </c>
      <c r="O281" t="s">
        <v>61</v>
      </c>
      <c r="P281" t="s">
        <v>51</v>
      </c>
      <c r="Q281" s="1">
        <v>44934</v>
      </c>
      <c r="R281" s="1">
        <v>44927</v>
      </c>
      <c r="S281" t="s">
        <v>95</v>
      </c>
      <c r="T281" s="1">
        <v>44927</v>
      </c>
      <c r="U281">
        <v>2023</v>
      </c>
    </row>
    <row r="282" spans="1:21" x14ac:dyDescent="0.3">
      <c r="A282" t="s">
        <v>392</v>
      </c>
      <c r="B282" t="s">
        <v>31</v>
      </c>
      <c r="C282" t="s">
        <v>23</v>
      </c>
      <c r="D282" t="s">
        <v>48</v>
      </c>
      <c r="E282" s="1">
        <v>45252</v>
      </c>
      <c r="F282" t="s">
        <v>49</v>
      </c>
      <c r="G282" t="s">
        <v>64</v>
      </c>
      <c r="H282">
        <v>9</v>
      </c>
      <c r="I282">
        <v>3737</v>
      </c>
      <c r="J282">
        <v>33633</v>
      </c>
      <c r="K282">
        <v>14404</v>
      </c>
      <c r="L282">
        <v>4098</v>
      </c>
      <c r="M282">
        <v>15131</v>
      </c>
      <c r="N282">
        <v>46</v>
      </c>
      <c r="O282" t="s">
        <v>42</v>
      </c>
      <c r="P282" t="s">
        <v>43</v>
      </c>
      <c r="Q282" s="1">
        <v>45249</v>
      </c>
      <c r="R282" s="1">
        <v>45200</v>
      </c>
      <c r="S282" t="s">
        <v>138</v>
      </c>
      <c r="T282" s="1">
        <v>45231</v>
      </c>
      <c r="U282">
        <v>2023</v>
      </c>
    </row>
    <row r="283" spans="1:21" x14ac:dyDescent="0.3">
      <c r="A283" t="s">
        <v>393</v>
      </c>
      <c r="B283" t="s">
        <v>46</v>
      </c>
      <c r="C283" t="s">
        <v>47</v>
      </c>
      <c r="D283" t="s">
        <v>76</v>
      </c>
      <c r="E283" s="1">
        <v>45210</v>
      </c>
      <c r="F283" t="s">
        <v>57</v>
      </c>
      <c r="G283" t="s">
        <v>33</v>
      </c>
      <c r="H283">
        <v>1</v>
      </c>
      <c r="I283">
        <v>36697</v>
      </c>
      <c r="J283">
        <v>36697</v>
      </c>
      <c r="K283">
        <v>17516</v>
      </c>
      <c r="L283">
        <v>5071</v>
      </c>
      <c r="M283">
        <v>14110</v>
      </c>
      <c r="N283">
        <v>18</v>
      </c>
      <c r="O283" t="s">
        <v>50</v>
      </c>
      <c r="P283" t="s">
        <v>43</v>
      </c>
      <c r="Q283" s="1">
        <v>45207</v>
      </c>
      <c r="R283" s="1">
        <v>45200</v>
      </c>
      <c r="S283" t="s">
        <v>52</v>
      </c>
      <c r="T283" s="1">
        <v>45200</v>
      </c>
      <c r="U283">
        <v>2023</v>
      </c>
    </row>
    <row r="284" spans="1:21" x14ac:dyDescent="0.3">
      <c r="A284" t="s">
        <v>394</v>
      </c>
      <c r="B284" t="s">
        <v>37</v>
      </c>
      <c r="C284" t="s">
        <v>38</v>
      </c>
      <c r="D284" t="s">
        <v>80</v>
      </c>
      <c r="E284" s="1">
        <v>44937</v>
      </c>
      <c r="F284" t="s">
        <v>49</v>
      </c>
      <c r="G284" t="s">
        <v>98</v>
      </c>
      <c r="H284">
        <v>6</v>
      </c>
      <c r="I284">
        <v>50714</v>
      </c>
      <c r="J284">
        <v>304284</v>
      </c>
      <c r="K284">
        <v>110614</v>
      </c>
      <c r="L284">
        <v>58514</v>
      </c>
      <c r="M284">
        <v>135156</v>
      </c>
      <c r="N284">
        <v>3</v>
      </c>
      <c r="O284" t="s">
        <v>61</v>
      </c>
      <c r="P284" t="s">
        <v>43</v>
      </c>
      <c r="Q284" s="1">
        <v>44934</v>
      </c>
      <c r="R284" s="1">
        <v>44927</v>
      </c>
      <c r="S284" t="s">
        <v>95</v>
      </c>
      <c r="T284" s="1">
        <v>44927</v>
      </c>
      <c r="U284">
        <v>2023</v>
      </c>
    </row>
    <row r="285" spans="1:21" x14ac:dyDescent="0.3">
      <c r="A285" t="s">
        <v>395</v>
      </c>
      <c r="B285" t="s">
        <v>72</v>
      </c>
      <c r="C285" t="s">
        <v>47</v>
      </c>
      <c r="D285" t="s">
        <v>66</v>
      </c>
      <c r="E285" s="1">
        <v>45085</v>
      </c>
      <c r="F285" t="s">
        <v>49</v>
      </c>
      <c r="G285" t="s">
        <v>58</v>
      </c>
      <c r="H285">
        <v>10</v>
      </c>
      <c r="I285">
        <v>15529</v>
      </c>
      <c r="J285">
        <v>155290</v>
      </c>
      <c r="K285">
        <v>84476</v>
      </c>
      <c r="L285">
        <v>20061</v>
      </c>
      <c r="M285">
        <v>50753</v>
      </c>
      <c r="N285">
        <v>5</v>
      </c>
      <c r="O285" t="s">
        <v>34</v>
      </c>
      <c r="P285" t="s">
        <v>84</v>
      </c>
      <c r="Q285" s="1">
        <v>45081</v>
      </c>
      <c r="R285" s="1">
        <v>45017</v>
      </c>
      <c r="S285" t="s">
        <v>35</v>
      </c>
      <c r="T285" s="1">
        <v>45078</v>
      </c>
      <c r="U285">
        <v>2023</v>
      </c>
    </row>
    <row r="286" spans="1:21" x14ac:dyDescent="0.3">
      <c r="A286" t="s">
        <v>396</v>
      </c>
      <c r="B286" t="s">
        <v>31</v>
      </c>
      <c r="C286" t="s">
        <v>23</v>
      </c>
      <c r="D286" t="s">
        <v>221</v>
      </c>
      <c r="E286" s="1">
        <v>45088</v>
      </c>
      <c r="F286" t="s">
        <v>57</v>
      </c>
      <c r="G286" t="s">
        <v>26</v>
      </c>
      <c r="H286">
        <v>4</v>
      </c>
      <c r="I286">
        <v>16363</v>
      </c>
      <c r="J286">
        <v>65452</v>
      </c>
      <c r="K286">
        <v>21080</v>
      </c>
      <c r="L286">
        <v>11931</v>
      </c>
      <c r="M286">
        <v>32441</v>
      </c>
      <c r="N286">
        <v>24</v>
      </c>
      <c r="O286" t="s">
        <v>27</v>
      </c>
      <c r="P286" t="s">
        <v>28</v>
      </c>
      <c r="Q286" s="1">
        <v>45088</v>
      </c>
      <c r="R286" s="1">
        <v>45017</v>
      </c>
      <c r="S286" t="s">
        <v>35</v>
      </c>
      <c r="T286" s="1">
        <v>45078</v>
      </c>
      <c r="U286">
        <v>2023</v>
      </c>
    </row>
    <row r="287" spans="1:21" x14ac:dyDescent="0.3">
      <c r="A287" t="s">
        <v>397</v>
      </c>
      <c r="B287" t="s">
        <v>37</v>
      </c>
      <c r="C287" t="s">
        <v>38</v>
      </c>
      <c r="D287" t="s">
        <v>54</v>
      </c>
      <c r="E287" s="1">
        <v>45202</v>
      </c>
      <c r="F287" t="s">
        <v>49</v>
      </c>
      <c r="G287" t="s">
        <v>98</v>
      </c>
      <c r="H287">
        <v>10</v>
      </c>
      <c r="I287">
        <v>3920</v>
      </c>
      <c r="J287">
        <v>39200</v>
      </c>
      <c r="K287">
        <v>18026</v>
      </c>
      <c r="L287">
        <v>3983</v>
      </c>
      <c r="M287">
        <v>17191</v>
      </c>
      <c r="N287">
        <v>3</v>
      </c>
      <c r="O287" t="s">
        <v>61</v>
      </c>
      <c r="P287" t="s">
        <v>62</v>
      </c>
      <c r="Q287" s="1">
        <v>45200</v>
      </c>
      <c r="R287" s="1">
        <v>45200</v>
      </c>
      <c r="S287" t="s">
        <v>52</v>
      </c>
      <c r="T287" s="1">
        <v>45200</v>
      </c>
      <c r="U287">
        <v>2023</v>
      </c>
    </row>
    <row r="288" spans="1:21" x14ac:dyDescent="0.3">
      <c r="A288" t="s">
        <v>398</v>
      </c>
      <c r="B288" t="s">
        <v>46</v>
      </c>
      <c r="C288" t="s">
        <v>47</v>
      </c>
      <c r="D288" t="s">
        <v>221</v>
      </c>
      <c r="E288" s="1">
        <v>45240</v>
      </c>
      <c r="F288" t="s">
        <v>25</v>
      </c>
      <c r="G288" t="s">
        <v>58</v>
      </c>
      <c r="H288">
        <v>3</v>
      </c>
      <c r="I288">
        <v>27554</v>
      </c>
      <c r="J288">
        <v>82662</v>
      </c>
      <c r="K288">
        <v>39549</v>
      </c>
      <c r="L288">
        <v>9854</v>
      </c>
      <c r="M288">
        <v>33259</v>
      </c>
      <c r="N288">
        <v>0</v>
      </c>
      <c r="O288" t="s">
        <v>34</v>
      </c>
      <c r="P288" t="s">
        <v>99</v>
      </c>
      <c r="Q288" s="1">
        <v>45235</v>
      </c>
      <c r="R288" s="1">
        <v>45200</v>
      </c>
      <c r="S288" t="s">
        <v>138</v>
      </c>
      <c r="T288" s="1">
        <v>45231</v>
      </c>
      <c r="U288">
        <v>2023</v>
      </c>
    </row>
    <row r="289" spans="1:21" x14ac:dyDescent="0.3">
      <c r="A289" t="s">
        <v>399</v>
      </c>
      <c r="B289" t="s">
        <v>22</v>
      </c>
      <c r="C289" t="s">
        <v>23</v>
      </c>
      <c r="D289" t="s">
        <v>123</v>
      </c>
      <c r="E289" s="1">
        <v>45134</v>
      </c>
      <c r="F289" t="s">
        <v>57</v>
      </c>
      <c r="G289" t="s">
        <v>26</v>
      </c>
      <c r="H289">
        <v>3</v>
      </c>
      <c r="I289">
        <v>42646</v>
      </c>
      <c r="J289">
        <v>127938</v>
      </c>
      <c r="K289">
        <v>46096</v>
      </c>
      <c r="L289">
        <v>21110</v>
      </c>
      <c r="M289">
        <v>60732</v>
      </c>
      <c r="N289">
        <v>10</v>
      </c>
      <c r="O289" t="s">
        <v>34</v>
      </c>
      <c r="P289" t="s">
        <v>84</v>
      </c>
      <c r="Q289" s="1">
        <v>45130</v>
      </c>
      <c r="R289" s="1">
        <v>45108</v>
      </c>
      <c r="S289" t="s">
        <v>29</v>
      </c>
      <c r="T289" s="1">
        <v>45108</v>
      </c>
      <c r="U289">
        <v>2023</v>
      </c>
    </row>
    <row r="290" spans="1:21" x14ac:dyDescent="0.3">
      <c r="A290" t="s">
        <v>400</v>
      </c>
      <c r="B290" t="s">
        <v>22</v>
      </c>
      <c r="C290" t="s">
        <v>23</v>
      </c>
      <c r="D290" t="s">
        <v>121</v>
      </c>
      <c r="E290" s="1">
        <v>45210</v>
      </c>
      <c r="F290" t="s">
        <v>25</v>
      </c>
      <c r="G290" t="s">
        <v>81</v>
      </c>
      <c r="H290">
        <v>8</v>
      </c>
      <c r="I290">
        <v>21385</v>
      </c>
      <c r="J290">
        <v>171080</v>
      </c>
      <c r="K290">
        <v>56211</v>
      </c>
      <c r="L290">
        <v>19396</v>
      </c>
      <c r="M290">
        <v>95473</v>
      </c>
      <c r="N290">
        <v>21</v>
      </c>
      <c r="O290" t="s">
        <v>27</v>
      </c>
      <c r="P290" t="s">
        <v>43</v>
      </c>
      <c r="Q290" s="1">
        <v>45207</v>
      </c>
      <c r="R290" s="1">
        <v>45200</v>
      </c>
      <c r="S290" t="s">
        <v>52</v>
      </c>
      <c r="T290" s="1">
        <v>45200</v>
      </c>
      <c r="U290">
        <v>2023</v>
      </c>
    </row>
    <row r="291" spans="1:21" x14ac:dyDescent="0.3">
      <c r="A291" t="s">
        <v>401</v>
      </c>
      <c r="B291" t="s">
        <v>22</v>
      </c>
      <c r="C291" t="s">
        <v>23</v>
      </c>
      <c r="D291" t="s">
        <v>209</v>
      </c>
      <c r="E291" s="1">
        <v>45222</v>
      </c>
      <c r="F291" t="s">
        <v>25</v>
      </c>
      <c r="G291" t="s">
        <v>98</v>
      </c>
      <c r="H291">
        <v>9</v>
      </c>
      <c r="I291">
        <v>15630</v>
      </c>
      <c r="J291">
        <v>140670</v>
      </c>
      <c r="K291">
        <v>73121</v>
      </c>
      <c r="L291">
        <v>26419</v>
      </c>
      <c r="M291">
        <v>41130</v>
      </c>
      <c r="N291">
        <v>41</v>
      </c>
      <c r="O291" t="s">
        <v>50</v>
      </c>
      <c r="P291" t="s">
        <v>51</v>
      </c>
      <c r="Q291" s="1">
        <v>45221</v>
      </c>
      <c r="R291" s="1">
        <v>45200</v>
      </c>
      <c r="S291" t="s">
        <v>52</v>
      </c>
      <c r="T291" s="1">
        <v>45200</v>
      </c>
      <c r="U291">
        <v>2023</v>
      </c>
    </row>
    <row r="292" spans="1:21" x14ac:dyDescent="0.3">
      <c r="A292" t="s">
        <v>402</v>
      </c>
      <c r="B292" t="s">
        <v>22</v>
      </c>
      <c r="C292" t="s">
        <v>23</v>
      </c>
      <c r="D292" t="s">
        <v>101</v>
      </c>
      <c r="E292" s="1">
        <v>45016</v>
      </c>
      <c r="F292" t="s">
        <v>49</v>
      </c>
      <c r="G292" t="s">
        <v>26</v>
      </c>
      <c r="H292">
        <v>9</v>
      </c>
      <c r="I292">
        <v>7493</v>
      </c>
      <c r="J292">
        <v>67437</v>
      </c>
      <c r="K292">
        <v>34356</v>
      </c>
      <c r="L292">
        <v>7061</v>
      </c>
      <c r="M292">
        <v>26020</v>
      </c>
      <c r="N292">
        <v>1</v>
      </c>
      <c r="O292" t="s">
        <v>50</v>
      </c>
      <c r="P292" t="s">
        <v>99</v>
      </c>
      <c r="Q292" s="1">
        <v>45011</v>
      </c>
      <c r="R292" s="1">
        <v>44927</v>
      </c>
      <c r="S292" t="s">
        <v>44</v>
      </c>
      <c r="T292" s="1">
        <v>44986</v>
      </c>
      <c r="U292">
        <v>2023</v>
      </c>
    </row>
    <row r="293" spans="1:21" x14ac:dyDescent="0.3">
      <c r="A293" t="s">
        <v>403</v>
      </c>
      <c r="B293" t="s">
        <v>72</v>
      </c>
      <c r="C293" t="s">
        <v>47</v>
      </c>
      <c r="D293" t="s">
        <v>87</v>
      </c>
      <c r="E293" s="1">
        <v>45042</v>
      </c>
      <c r="F293" t="s">
        <v>49</v>
      </c>
      <c r="G293" t="s">
        <v>33</v>
      </c>
      <c r="H293">
        <v>2</v>
      </c>
      <c r="I293">
        <v>7167</v>
      </c>
      <c r="J293">
        <v>14334</v>
      </c>
      <c r="K293">
        <v>7721</v>
      </c>
      <c r="L293">
        <v>1695</v>
      </c>
      <c r="M293">
        <v>4918</v>
      </c>
      <c r="N293">
        <v>24</v>
      </c>
      <c r="O293" t="s">
        <v>61</v>
      </c>
      <c r="P293" t="s">
        <v>43</v>
      </c>
      <c r="Q293" s="1">
        <v>45039</v>
      </c>
      <c r="R293" s="1">
        <v>45017</v>
      </c>
      <c r="S293" t="s">
        <v>74</v>
      </c>
      <c r="T293" s="1">
        <v>45017</v>
      </c>
      <c r="U293">
        <v>2023</v>
      </c>
    </row>
    <row r="294" spans="1:21" x14ac:dyDescent="0.3">
      <c r="A294" t="s">
        <v>404</v>
      </c>
      <c r="B294" t="s">
        <v>22</v>
      </c>
      <c r="C294" t="s">
        <v>23</v>
      </c>
      <c r="D294" t="s">
        <v>32</v>
      </c>
      <c r="E294" s="1">
        <v>45027</v>
      </c>
      <c r="F294" t="s">
        <v>57</v>
      </c>
      <c r="G294" t="s">
        <v>41</v>
      </c>
      <c r="H294">
        <v>10</v>
      </c>
      <c r="I294">
        <v>30368</v>
      </c>
      <c r="J294">
        <v>303680</v>
      </c>
      <c r="K294">
        <v>165580</v>
      </c>
      <c r="L294">
        <v>48576</v>
      </c>
      <c r="M294">
        <v>89524</v>
      </c>
      <c r="N294">
        <v>6</v>
      </c>
      <c r="O294" t="s">
        <v>34</v>
      </c>
      <c r="P294" t="s">
        <v>62</v>
      </c>
      <c r="Q294" s="1">
        <v>45025</v>
      </c>
      <c r="R294" s="1">
        <v>45017</v>
      </c>
      <c r="S294" t="s">
        <v>74</v>
      </c>
      <c r="T294" s="1">
        <v>45017</v>
      </c>
      <c r="U294">
        <v>2023</v>
      </c>
    </row>
    <row r="295" spans="1:21" x14ac:dyDescent="0.3">
      <c r="A295" t="s">
        <v>405</v>
      </c>
      <c r="B295" t="s">
        <v>22</v>
      </c>
      <c r="C295" t="s">
        <v>23</v>
      </c>
      <c r="D295" t="s">
        <v>176</v>
      </c>
      <c r="E295" s="1">
        <v>45053</v>
      </c>
      <c r="F295" t="s">
        <v>40</v>
      </c>
      <c r="G295" t="s">
        <v>98</v>
      </c>
      <c r="H295">
        <v>7</v>
      </c>
      <c r="I295">
        <v>21796</v>
      </c>
      <c r="J295">
        <v>152572</v>
      </c>
      <c r="K295">
        <v>67728</v>
      </c>
      <c r="L295">
        <v>30217</v>
      </c>
      <c r="M295">
        <v>54627</v>
      </c>
      <c r="N295">
        <v>35</v>
      </c>
      <c r="O295" t="s">
        <v>34</v>
      </c>
      <c r="P295" t="s">
        <v>28</v>
      </c>
      <c r="Q295" s="1">
        <v>45053</v>
      </c>
      <c r="R295" s="1">
        <v>45017</v>
      </c>
      <c r="S295" t="s">
        <v>68</v>
      </c>
      <c r="T295" s="1">
        <v>45047</v>
      </c>
      <c r="U295">
        <v>2023</v>
      </c>
    </row>
    <row r="296" spans="1:21" x14ac:dyDescent="0.3">
      <c r="A296" t="s">
        <v>406</v>
      </c>
      <c r="B296" t="s">
        <v>72</v>
      </c>
      <c r="C296" t="s">
        <v>47</v>
      </c>
      <c r="D296" t="s">
        <v>60</v>
      </c>
      <c r="E296" s="1">
        <v>45081</v>
      </c>
      <c r="F296" t="s">
        <v>57</v>
      </c>
      <c r="G296" t="s">
        <v>41</v>
      </c>
      <c r="H296">
        <v>6</v>
      </c>
      <c r="I296">
        <v>30673</v>
      </c>
      <c r="J296">
        <v>184038</v>
      </c>
      <c r="K296">
        <v>59470</v>
      </c>
      <c r="L296">
        <v>26567</v>
      </c>
      <c r="M296">
        <v>98001</v>
      </c>
      <c r="N296">
        <v>30</v>
      </c>
      <c r="O296" t="s">
        <v>42</v>
      </c>
      <c r="P296" t="s">
        <v>28</v>
      </c>
      <c r="Q296" s="1">
        <v>45081</v>
      </c>
      <c r="R296" s="1">
        <v>45017</v>
      </c>
      <c r="S296" t="s">
        <v>35</v>
      </c>
      <c r="T296" s="1">
        <v>45078</v>
      </c>
      <c r="U296">
        <v>2023</v>
      </c>
    </row>
    <row r="297" spans="1:21" x14ac:dyDescent="0.3">
      <c r="A297" t="s">
        <v>407</v>
      </c>
      <c r="B297" t="s">
        <v>37</v>
      </c>
      <c r="C297" t="s">
        <v>38</v>
      </c>
      <c r="D297" t="s">
        <v>32</v>
      </c>
      <c r="E297" s="1">
        <v>45081</v>
      </c>
      <c r="F297" t="s">
        <v>57</v>
      </c>
      <c r="G297" t="s">
        <v>81</v>
      </c>
      <c r="H297">
        <v>10</v>
      </c>
      <c r="I297">
        <v>11097</v>
      </c>
      <c r="J297">
        <v>110970</v>
      </c>
      <c r="K297">
        <v>42223</v>
      </c>
      <c r="L297">
        <v>16110</v>
      </c>
      <c r="M297">
        <v>52637</v>
      </c>
      <c r="N297">
        <v>50</v>
      </c>
      <c r="O297" t="s">
        <v>61</v>
      </c>
      <c r="P297" t="s">
        <v>28</v>
      </c>
      <c r="Q297" s="1">
        <v>45081</v>
      </c>
      <c r="R297" s="1">
        <v>45017</v>
      </c>
      <c r="S297" t="s">
        <v>35</v>
      </c>
      <c r="T297" s="1">
        <v>45078</v>
      </c>
      <c r="U297">
        <v>2023</v>
      </c>
    </row>
    <row r="298" spans="1:21" x14ac:dyDescent="0.3">
      <c r="A298" t="s">
        <v>408</v>
      </c>
      <c r="B298" t="s">
        <v>37</v>
      </c>
      <c r="C298" t="s">
        <v>38</v>
      </c>
      <c r="D298" t="s">
        <v>87</v>
      </c>
      <c r="E298" s="1">
        <v>45061</v>
      </c>
      <c r="F298" t="s">
        <v>49</v>
      </c>
      <c r="G298" t="s">
        <v>26</v>
      </c>
      <c r="H298">
        <v>10</v>
      </c>
      <c r="I298">
        <v>64138</v>
      </c>
      <c r="J298">
        <v>641380</v>
      </c>
      <c r="K298">
        <v>343867</v>
      </c>
      <c r="L298">
        <v>84373</v>
      </c>
      <c r="M298">
        <v>213140</v>
      </c>
      <c r="N298">
        <v>4</v>
      </c>
      <c r="O298" t="s">
        <v>27</v>
      </c>
      <c r="P298" t="s">
        <v>51</v>
      </c>
      <c r="Q298" s="1">
        <v>45060</v>
      </c>
      <c r="R298" s="1">
        <v>45017</v>
      </c>
      <c r="S298" t="s">
        <v>68</v>
      </c>
      <c r="T298" s="1">
        <v>45047</v>
      </c>
      <c r="U298">
        <v>2023</v>
      </c>
    </row>
    <row r="299" spans="1:21" x14ac:dyDescent="0.3">
      <c r="A299" t="s">
        <v>409</v>
      </c>
      <c r="B299" t="s">
        <v>31</v>
      </c>
      <c r="C299" t="s">
        <v>23</v>
      </c>
      <c r="D299" t="s">
        <v>148</v>
      </c>
      <c r="E299" s="1">
        <v>45249</v>
      </c>
      <c r="F299" t="s">
        <v>25</v>
      </c>
      <c r="G299" t="s">
        <v>58</v>
      </c>
      <c r="H299">
        <v>3</v>
      </c>
      <c r="I299">
        <v>50744</v>
      </c>
      <c r="J299">
        <v>152232</v>
      </c>
      <c r="K299">
        <v>65393</v>
      </c>
      <c r="L299">
        <v>20896</v>
      </c>
      <c r="M299">
        <v>65943</v>
      </c>
      <c r="N299">
        <v>36</v>
      </c>
      <c r="O299" t="s">
        <v>42</v>
      </c>
      <c r="P299" t="s">
        <v>28</v>
      </c>
      <c r="Q299" s="1">
        <v>45249</v>
      </c>
      <c r="R299" s="1">
        <v>45200</v>
      </c>
      <c r="S299" t="s">
        <v>138</v>
      </c>
      <c r="T299" s="1">
        <v>45231</v>
      </c>
      <c r="U299">
        <v>2023</v>
      </c>
    </row>
    <row r="300" spans="1:21" x14ac:dyDescent="0.3">
      <c r="A300" t="s">
        <v>410</v>
      </c>
      <c r="B300" t="s">
        <v>46</v>
      </c>
      <c r="C300" t="s">
        <v>47</v>
      </c>
      <c r="D300" t="s">
        <v>54</v>
      </c>
      <c r="E300" s="1">
        <v>45105</v>
      </c>
      <c r="F300" t="s">
        <v>25</v>
      </c>
      <c r="G300" t="s">
        <v>64</v>
      </c>
      <c r="H300">
        <v>4</v>
      </c>
      <c r="I300">
        <v>50173</v>
      </c>
      <c r="J300">
        <v>200692</v>
      </c>
      <c r="K300">
        <v>117925</v>
      </c>
      <c r="L300">
        <v>33886</v>
      </c>
      <c r="M300">
        <v>48881</v>
      </c>
      <c r="N300">
        <v>25</v>
      </c>
      <c r="O300" t="s">
        <v>50</v>
      </c>
      <c r="P300" t="s">
        <v>43</v>
      </c>
      <c r="Q300" s="1">
        <v>45102</v>
      </c>
      <c r="R300" s="1">
        <v>45017</v>
      </c>
      <c r="S300" t="s">
        <v>35</v>
      </c>
      <c r="T300" s="1">
        <v>45078</v>
      </c>
      <c r="U300">
        <v>2023</v>
      </c>
    </row>
    <row r="301" spans="1:21" x14ac:dyDescent="0.3">
      <c r="A301" t="s">
        <v>411</v>
      </c>
      <c r="B301" t="s">
        <v>31</v>
      </c>
      <c r="C301" t="s">
        <v>23</v>
      </c>
      <c r="D301" t="s">
        <v>301</v>
      </c>
      <c r="E301" s="1">
        <v>44973</v>
      </c>
      <c r="F301" t="s">
        <v>25</v>
      </c>
      <c r="G301" t="s">
        <v>58</v>
      </c>
      <c r="H301">
        <v>6</v>
      </c>
      <c r="I301">
        <v>44747</v>
      </c>
      <c r="J301">
        <v>268482</v>
      </c>
      <c r="K301">
        <v>145243</v>
      </c>
      <c r="L301">
        <v>53562</v>
      </c>
      <c r="M301">
        <v>69677</v>
      </c>
      <c r="N301">
        <v>25</v>
      </c>
      <c r="O301" t="s">
        <v>42</v>
      </c>
      <c r="P301" t="s">
        <v>84</v>
      </c>
      <c r="Q301" s="1">
        <v>44969</v>
      </c>
      <c r="R301" s="1">
        <v>44927</v>
      </c>
      <c r="S301" t="s">
        <v>85</v>
      </c>
      <c r="T301" s="1">
        <v>44958</v>
      </c>
      <c r="U301">
        <v>2023</v>
      </c>
    </row>
    <row r="302" spans="1:21" x14ac:dyDescent="0.3">
      <c r="A302" t="s">
        <v>412</v>
      </c>
      <c r="B302" t="s">
        <v>72</v>
      </c>
      <c r="C302" t="s">
        <v>47</v>
      </c>
      <c r="D302" t="s">
        <v>76</v>
      </c>
      <c r="E302" s="1">
        <v>45012</v>
      </c>
      <c r="F302" t="s">
        <v>49</v>
      </c>
      <c r="G302" t="s">
        <v>81</v>
      </c>
      <c r="H302">
        <v>1</v>
      </c>
      <c r="I302">
        <v>7520</v>
      </c>
      <c r="J302">
        <v>7520</v>
      </c>
      <c r="K302">
        <v>2462</v>
      </c>
      <c r="L302">
        <v>1094</v>
      </c>
      <c r="M302">
        <v>3964</v>
      </c>
      <c r="N302">
        <v>26</v>
      </c>
      <c r="O302" t="s">
        <v>27</v>
      </c>
      <c r="P302" t="s">
        <v>51</v>
      </c>
      <c r="Q302" s="1">
        <v>45011</v>
      </c>
      <c r="R302" s="1">
        <v>44927</v>
      </c>
      <c r="S302" t="s">
        <v>44</v>
      </c>
      <c r="T302" s="1">
        <v>44986</v>
      </c>
      <c r="U302">
        <v>2023</v>
      </c>
    </row>
    <row r="303" spans="1:21" x14ac:dyDescent="0.3">
      <c r="A303" t="s">
        <v>413</v>
      </c>
      <c r="B303" t="s">
        <v>72</v>
      </c>
      <c r="C303" t="s">
        <v>47</v>
      </c>
      <c r="D303" t="s">
        <v>76</v>
      </c>
      <c r="E303" s="1">
        <v>45222</v>
      </c>
      <c r="F303" t="s">
        <v>40</v>
      </c>
      <c r="G303" t="s">
        <v>26</v>
      </c>
      <c r="H303">
        <v>2</v>
      </c>
      <c r="I303">
        <v>14754</v>
      </c>
      <c r="J303">
        <v>29508</v>
      </c>
      <c r="K303">
        <v>15904</v>
      </c>
      <c r="L303">
        <v>3077</v>
      </c>
      <c r="M303">
        <v>10527</v>
      </c>
      <c r="N303">
        <v>41</v>
      </c>
      <c r="O303" t="s">
        <v>34</v>
      </c>
      <c r="P303" t="s">
        <v>51</v>
      </c>
      <c r="Q303" s="1">
        <v>45221</v>
      </c>
      <c r="R303" s="1">
        <v>45200</v>
      </c>
      <c r="S303" t="s">
        <v>52</v>
      </c>
      <c r="T303" s="1">
        <v>45200</v>
      </c>
      <c r="U303">
        <v>2023</v>
      </c>
    </row>
    <row r="304" spans="1:21" x14ac:dyDescent="0.3">
      <c r="A304" t="s">
        <v>414</v>
      </c>
      <c r="B304" t="s">
        <v>31</v>
      </c>
      <c r="C304" t="s">
        <v>23</v>
      </c>
      <c r="D304" t="s">
        <v>256</v>
      </c>
      <c r="E304" s="1">
        <v>45088</v>
      </c>
      <c r="F304" t="s">
        <v>40</v>
      </c>
      <c r="G304" t="s">
        <v>26</v>
      </c>
      <c r="H304">
        <v>1</v>
      </c>
      <c r="I304">
        <v>20937</v>
      </c>
      <c r="J304">
        <v>20937</v>
      </c>
      <c r="K304">
        <v>11339</v>
      </c>
      <c r="L304">
        <v>3744</v>
      </c>
      <c r="M304">
        <v>5854</v>
      </c>
      <c r="N304">
        <v>10</v>
      </c>
      <c r="O304" t="s">
        <v>61</v>
      </c>
      <c r="P304" t="s">
        <v>28</v>
      </c>
      <c r="Q304" s="1">
        <v>45088</v>
      </c>
      <c r="R304" s="1">
        <v>45017</v>
      </c>
      <c r="S304" t="s">
        <v>35</v>
      </c>
      <c r="T304" s="1">
        <v>45078</v>
      </c>
      <c r="U304">
        <v>2023</v>
      </c>
    </row>
    <row r="305" spans="1:21" x14ac:dyDescent="0.3">
      <c r="A305" t="s">
        <v>415</v>
      </c>
      <c r="B305" t="s">
        <v>22</v>
      </c>
      <c r="C305" t="s">
        <v>23</v>
      </c>
      <c r="D305" t="s">
        <v>78</v>
      </c>
      <c r="E305" s="1">
        <v>45238</v>
      </c>
      <c r="F305" t="s">
        <v>25</v>
      </c>
      <c r="G305" t="s">
        <v>98</v>
      </c>
      <c r="H305">
        <v>5</v>
      </c>
      <c r="I305">
        <v>61866</v>
      </c>
      <c r="J305">
        <v>309330</v>
      </c>
      <c r="K305">
        <v>112145</v>
      </c>
      <c r="L305">
        <v>59341</v>
      </c>
      <c r="M305">
        <v>137844</v>
      </c>
      <c r="N305">
        <v>47</v>
      </c>
      <c r="O305" t="s">
        <v>27</v>
      </c>
      <c r="P305" t="s">
        <v>43</v>
      </c>
      <c r="Q305" s="1">
        <v>45235</v>
      </c>
      <c r="R305" s="1">
        <v>45200</v>
      </c>
      <c r="S305" t="s">
        <v>138</v>
      </c>
      <c r="T305" s="1">
        <v>45231</v>
      </c>
      <c r="U305">
        <v>2023</v>
      </c>
    </row>
    <row r="306" spans="1:21" x14ac:dyDescent="0.3">
      <c r="A306" t="s">
        <v>416</v>
      </c>
      <c r="B306" t="s">
        <v>72</v>
      </c>
      <c r="C306" t="s">
        <v>47</v>
      </c>
      <c r="D306" t="s">
        <v>70</v>
      </c>
      <c r="E306" s="1">
        <v>45090</v>
      </c>
      <c r="F306" t="s">
        <v>57</v>
      </c>
      <c r="G306" t="s">
        <v>41</v>
      </c>
      <c r="H306">
        <v>10</v>
      </c>
      <c r="I306">
        <v>56539</v>
      </c>
      <c r="J306">
        <v>565390</v>
      </c>
      <c r="K306">
        <v>282496</v>
      </c>
      <c r="L306">
        <v>78001</v>
      </c>
      <c r="M306">
        <v>204893</v>
      </c>
      <c r="N306">
        <v>10</v>
      </c>
      <c r="O306" t="s">
        <v>42</v>
      </c>
      <c r="P306" t="s">
        <v>62</v>
      </c>
      <c r="Q306" s="1">
        <v>45088</v>
      </c>
      <c r="R306" s="1">
        <v>45017</v>
      </c>
      <c r="S306" t="s">
        <v>35</v>
      </c>
      <c r="T306" s="1">
        <v>45078</v>
      </c>
      <c r="U306">
        <v>2023</v>
      </c>
    </row>
    <row r="307" spans="1:21" x14ac:dyDescent="0.3">
      <c r="A307" t="s">
        <v>417</v>
      </c>
      <c r="B307" t="s">
        <v>72</v>
      </c>
      <c r="C307" t="s">
        <v>47</v>
      </c>
      <c r="D307" t="s">
        <v>154</v>
      </c>
      <c r="E307" s="1">
        <v>45004</v>
      </c>
      <c r="F307" t="s">
        <v>25</v>
      </c>
      <c r="G307" t="s">
        <v>41</v>
      </c>
      <c r="H307">
        <v>9</v>
      </c>
      <c r="I307">
        <v>45845</v>
      </c>
      <c r="J307">
        <v>412605</v>
      </c>
      <c r="K307">
        <v>222874</v>
      </c>
      <c r="L307">
        <v>59819</v>
      </c>
      <c r="M307">
        <v>129912</v>
      </c>
      <c r="N307">
        <v>8</v>
      </c>
      <c r="O307" t="s">
        <v>50</v>
      </c>
      <c r="P307" t="s">
        <v>28</v>
      </c>
      <c r="Q307" s="1">
        <v>45004</v>
      </c>
      <c r="R307" s="1">
        <v>44927</v>
      </c>
      <c r="S307" t="s">
        <v>44</v>
      </c>
      <c r="T307" s="1">
        <v>44986</v>
      </c>
      <c r="U307">
        <v>2023</v>
      </c>
    </row>
    <row r="308" spans="1:21" x14ac:dyDescent="0.3">
      <c r="A308" t="s">
        <v>418</v>
      </c>
      <c r="B308" t="s">
        <v>46</v>
      </c>
      <c r="C308" t="s">
        <v>47</v>
      </c>
      <c r="D308" t="s">
        <v>168</v>
      </c>
      <c r="E308" s="1">
        <v>45157</v>
      </c>
      <c r="F308" t="s">
        <v>25</v>
      </c>
      <c r="G308" t="s">
        <v>64</v>
      </c>
      <c r="H308">
        <v>9</v>
      </c>
      <c r="I308">
        <v>41979</v>
      </c>
      <c r="J308">
        <v>377811</v>
      </c>
      <c r="K308">
        <v>198158</v>
      </c>
      <c r="L308">
        <v>73967</v>
      </c>
      <c r="M308">
        <v>105686</v>
      </c>
      <c r="N308">
        <v>29</v>
      </c>
      <c r="O308" t="s">
        <v>42</v>
      </c>
      <c r="P308" t="s">
        <v>67</v>
      </c>
      <c r="Q308" s="1">
        <v>45151</v>
      </c>
      <c r="R308" s="1">
        <v>45108</v>
      </c>
      <c r="S308" t="s">
        <v>92</v>
      </c>
      <c r="T308" s="1">
        <v>45139</v>
      </c>
      <c r="U308">
        <v>2023</v>
      </c>
    </row>
    <row r="309" spans="1:21" x14ac:dyDescent="0.3">
      <c r="A309" t="s">
        <v>419</v>
      </c>
      <c r="B309" t="s">
        <v>31</v>
      </c>
      <c r="C309" t="s">
        <v>23</v>
      </c>
      <c r="D309" t="s">
        <v>125</v>
      </c>
      <c r="E309" s="1">
        <v>45121</v>
      </c>
      <c r="F309" t="s">
        <v>25</v>
      </c>
      <c r="G309" t="s">
        <v>58</v>
      </c>
      <c r="H309">
        <v>3</v>
      </c>
      <c r="I309">
        <v>6703</v>
      </c>
      <c r="J309">
        <v>20109</v>
      </c>
      <c r="K309">
        <v>11887</v>
      </c>
      <c r="L309">
        <v>2570</v>
      </c>
      <c r="M309">
        <v>5652</v>
      </c>
      <c r="N309">
        <v>13</v>
      </c>
      <c r="O309" t="s">
        <v>50</v>
      </c>
      <c r="P309" t="s">
        <v>99</v>
      </c>
      <c r="Q309" s="1">
        <v>45116</v>
      </c>
      <c r="R309" s="1">
        <v>45108</v>
      </c>
      <c r="S309" t="s">
        <v>29</v>
      </c>
      <c r="T309" s="1">
        <v>45108</v>
      </c>
      <c r="U309">
        <v>2023</v>
      </c>
    </row>
    <row r="310" spans="1:21" x14ac:dyDescent="0.3">
      <c r="A310" t="s">
        <v>420</v>
      </c>
      <c r="B310" t="s">
        <v>31</v>
      </c>
      <c r="C310" t="s">
        <v>23</v>
      </c>
      <c r="D310" t="s">
        <v>111</v>
      </c>
      <c r="E310" s="1">
        <v>45174</v>
      </c>
      <c r="F310" t="s">
        <v>25</v>
      </c>
      <c r="G310" t="s">
        <v>41</v>
      </c>
      <c r="H310">
        <v>5</v>
      </c>
      <c r="I310">
        <v>15644</v>
      </c>
      <c r="J310">
        <v>78220</v>
      </c>
      <c r="K310">
        <v>35386</v>
      </c>
      <c r="L310">
        <v>11158</v>
      </c>
      <c r="M310">
        <v>31676</v>
      </c>
      <c r="N310">
        <v>40</v>
      </c>
      <c r="O310" t="s">
        <v>34</v>
      </c>
      <c r="P310" t="s">
        <v>62</v>
      </c>
      <c r="Q310" s="1">
        <v>45172</v>
      </c>
      <c r="R310" s="1">
        <v>45108</v>
      </c>
      <c r="S310" t="s">
        <v>104</v>
      </c>
      <c r="T310" s="1">
        <v>45170</v>
      </c>
      <c r="U310">
        <v>2023</v>
      </c>
    </row>
    <row r="311" spans="1:21" x14ac:dyDescent="0.3">
      <c r="A311" t="s">
        <v>421</v>
      </c>
      <c r="B311" t="s">
        <v>72</v>
      </c>
      <c r="C311" t="s">
        <v>47</v>
      </c>
      <c r="D311" t="s">
        <v>196</v>
      </c>
      <c r="E311" s="1">
        <v>45190</v>
      </c>
      <c r="F311" t="s">
        <v>57</v>
      </c>
      <c r="G311" t="s">
        <v>58</v>
      </c>
      <c r="H311">
        <v>7</v>
      </c>
      <c r="I311">
        <v>17063</v>
      </c>
      <c r="J311">
        <v>119441</v>
      </c>
      <c r="K311">
        <v>63550</v>
      </c>
      <c r="L311">
        <v>12674</v>
      </c>
      <c r="M311">
        <v>43217</v>
      </c>
      <c r="N311">
        <v>40</v>
      </c>
      <c r="O311" t="s">
        <v>61</v>
      </c>
      <c r="P311" t="s">
        <v>84</v>
      </c>
      <c r="Q311" s="1">
        <v>45186</v>
      </c>
      <c r="R311" s="1">
        <v>45108</v>
      </c>
      <c r="S311" t="s">
        <v>104</v>
      </c>
      <c r="T311" s="1">
        <v>45170</v>
      </c>
      <c r="U311">
        <v>2023</v>
      </c>
    </row>
    <row r="312" spans="1:21" x14ac:dyDescent="0.3">
      <c r="A312" t="s">
        <v>422</v>
      </c>
      <c r="B312" t="s">
        <v>37</v>
      </c>
      <c r="C312" t="s">
        <v>38</v>
      </c>
      <c r="D312" t="s">
        <v>111</v>
      </c>
      <c r="E312" s="1">
        <v>45124</v>
      </c>
      <c r="F312" t="s">
        <v>25</v>
      </c>
      <c r="G312" t="s">
        <v>81</v>
      </c>
      <c r="H312">
        <v>1</v>
      </c>
      <c r="I312">
        <v>39959</v>
      </c>
      <c r="J312">
        <v>39959</v>
      </c>
      <c r="K312">
        <v>23577</v>
      </c>
      <c r="L312">
        <v>5120</v>
      </c>
      <c r="M312">
        <v>11262</v>
      </c>
      <c r="N312">
        <v>13</v>
      </c>
      <c r="O312" t="s">
        <v>27</v>
      </c>
      <c r="P312" t="s">
        <v>51</v>
      </c>
      <c r="Q312" s="1">
        <v>45123</v>
      </c>
      <c r="R312" s="1">
        <v>45108</v>
      </c>
      <c r="S312" t="s">
        <v>29</v>
      </c>
      <c r="T312" s="1">
        <v>45108</v>
      </c>
      <c r="U312">
        <v>2023</v>
      </c>
    </row>
    <row r="313" spans="1:21" x14ac:dyDescent="0.3">
      <c r="A313" t="s">
        <v>423</v>
      </c>
      <c r="B313" t="s">
        <v>37</v>
      </c>
      <c r="C313" t="s">
        <v>38</v>
      </c>
      <c r="D313" t="s">
        <v>39</v>
      </c>
      <c r="E313" s="1">
        <v>45130</v>
      </c>
      <c r="F313" t="s">
        <v>49</v>
      </c>
      <c r="G313" t="s">
        <v>98</v>
      </c>
      <c r="H313">
        <v>4</v>
      </c>
      <c r="I313">
        <v>65631</v>
      </c>
      <c r="J313">
        <v>262524</v>
      </c>
      <c r="K313">
        <v>131894</v>
      </c>
      <c r="L313">
        <v>34436</v>
      </c>
      <c r="M313">
        <v>96194</v>
      </c>
      <c r="N313">
        <v>40</v>
      </c>
      <c r="O313" t="s">
        <v>50</v>
      </c>
      <c r="P313" t="s">
        <v>28</v>
      </c>
      <c r="Q313" s="1">
        <v>45130</v>
      </c>
      <c r="R313" s="1">
        <v>45108</v>
      </c>
      <c r="S313" t="s">
        <v>29</v>
      </c>
      <c r="T313" s="1">
        <v>45108</v>
      </c>
      <c r="U313">
        <v>2023</v>
      </c>
    </row>
    <row r="314" spans="1:21" x14ac:dyDescent="0.3">
      <c r="A314" t="s">
        <v>424</v>
      </c>
      <c r="B314" t="s">
        <v>46</v>
      </c>
      <c r="C314" t="s">
        <v>47</v>
      </c>
      <c r="D314" t="s">
        <v>66</v>
      </c>
      <c r="E314" s="1">
        <v>45018</v>
      </c>
      <c r="F314" t="s">
        <v>57</v>
      </c>
      <c r="G314" t="s">
        <v>33</v>
      </c>
      <c r="H314">
        <v>8</v>
      </c>
      <c r="I314">
        <v>47383</v>
      </c>
      <c r="J314">
        <v>379064</v>
      </c>
      <c r="K314">
        <v>148062</v>
      </c>
      <c r="L314">
        <v>43602</v>
      </c>
      <c r="M314">
        <v>187400</v>
      </c>
      <c r="N314">
        <v>20</v>
      </c>
      <c r="O314" t="s">
        <v>27</v>
      </c>
      <c r="P314" t="s">
        <v>28</v>
      </c>
      <c r="Q314" s="1">
        <v>45018</v>
      </c>
      <c r="R314" s="1">
        <v>45017</v>
      </c>
      <c r="S314" t="s">
        <v>74</v>
      </c>
      <c r="T314" s="1">
        <v>45017</v>
      </c>
      <c r="U314">
        <v>2023</v>
      </c>
    </row>
    <row r="315" spans="1:21" x14ac:dyDescent="0.3">
      <c r="A315" t="s">
        <v>425</v>
      </c>
      <c r="B315" t="s">
        <v>31</v>
      </c>
      <c r="C315" t="s">
        <v>23</v>
      </c>
      <c r="D315" t="s">
        <v>108</v>
      </c>
      <c r="E315" s="1">
        <v>45126</v>
      </c>
      <c r="F315" t="s">
        <v>25</v>
      </c>
      <c r="G315" t="s">
        <v>26</v>
      </c>
      <c r="H315">
        <v>2</v>
      </c>
      <c r="I315">
        <v>14534</v>
      </c>
      <c r="J315">
        <v>29068</v>
      </c>
      <c r="K315">
        <v>13494</v>
      </c>
      <c r="L315">
        <v>4619</v>
      </c>
      <c r="M315">
        <v>10955</v>
      </c>
      <c r="N315">
        <v>25</v>
      </c>
      <c r="O315" t="s">
        <v>42</v>
      </c>
      <c r="P315" t="s">
        <v>43</v>
      </c>
      <c r="Q315" s="1">
        <v>45123</v>
      </c>
      <c r="R315" s="1">
        <v>45108</v>
      </c>
      <c r="S315" t="s">
        <v>29</v>
      </c>
      <c r="T315" s="1">
        <v>45108</v>
      </c>
      <c r="U315">
        <v>2023</v>
      </c>
    </row>
    <row r="316" spans="1:21" x14ac:dyDescent="0.3">
      <c r="A316" t="s">
        <v>426</v>
      </c>
      <c r="B316" t="s">
        <v>31</v>
      </c>
      <c r="C316" t="s">
        <v>23</v>
      </c>
      <c r="D316" t="s">
        <v>142</v>
      </c>
      <c r="E316" s="1">
        <v>45049</v>
      </c>
      <c r="F316" t="s">
        <v>49</v>
      </c>
      <c r="G316" t="s">
        <v>98</v>
      </c>
      <c r="H316">
        <v>10</v>
      </c>
      <c r="I316">
        <v>26670</v>
      </c>
      <c r="J316">
        <v>266700</v>
      </c>
      <c r="K316">
        <v>90699</v>
      </c>
      <c r="L316">
        <v>34108</v>
      </c>
      <c r="M316">
        <v>141893</v>
      </c>
      <c r="N316">
        <v>46</v>
      </c>
      <c r="O316" t="s">
        <v>50</v>
      </c>
      <c r="P316" t="s">
        <v>43</v>
      </c>
      <c r="Q316" s="1">
        <v>45046</v>
      </c>
      <c r="R316" s="1">
        <v>45017</v>
      </c>
      <c r="S316" t="s">
        <v>68</v>
      </c>
      <c r="T316" s="1">
        <v>45047</v>
      </c>
      <c r="U316">
        <v>2023</v>
      </c>
    </row>
    <row r="317" spans="1:21" x14ac:dyDescent="0.3">
      <c r="A317" t="s">
        <v>427</v>
      </c>
      <c r="B317" t="s">
        <v>22</v>
      </c>
      <c r="C317" t="s">
        <v>23</v>
      </c>
      <c r="D317" t="s">
        <v>89</v>
      </c>
      <c r="E317" s="1">
        <v>45168</v>
      </c>
      <c r="F317" t="s">
        <v>40</v>
      </c>
      <c r="G317" t="s">
        <v>98</v>
      </c>
      <c r="H317">
        <v>1</v>
      </c>
      <c r="I317">
        <v>17092</v>
      </c>
      <c r="J317">
        <v>17092</v>
      </c>
      <c r="K317">
        <v>7471</v>
      </c>
      <c r="L317">
        <v>2519</v>
      </c>
      <c r="M317">
        <v>7102</v>
      </c>
      <c r="N317">
        <v>4</v>
      </c>
      <c r="O317" t="s">
        <v>34</v>
      </c>
      <c r="P317" t="s">
        <v>43</v>
      </c>
      <c r="Q317" s="1">
        <v>45165</v>
      </c>
      <c r="R317" s="1">
        <v>45108</v>
      </c>
      <c r="S317" t="s">
        <v>92</v>
      </c>
      <c r="T317" s="1">
        <v>45139</v>
      </c>
      <c r="U317">
        <v>2023</v>
      </c>
    </row>
    <row r="318" spans="1:21" x14ac:dyDescent="0.3">
      <c r="A318" t="s">
        <v>428</v>
      </c>
      <c r="B318" t="s">
        <v>46</v>
      </c>
      <c r="C318" t="s">
        <v>47</v>
      </c>
      <c r="D318" t="s">
        <v>135</v>
      </c>
      <c r="E318" s="1">
        <v>45103</v>
      </c>
      <c r="F318" t="s">
        <v>40</v>
      </c>
      <c r="G318" t="s">
        <v>26</v>
      </c>
      <c r="H318">
        <v>10</v>
      </c>
      <c r="I318">
        <v>9448</v>
      </c>
      <c r="J318">
        <v>94480</v>
      </c>
      <c r="K318">
        <v>31177</v>
      </c>
      <c r="L318">
        <v>15047</v>
      </c>
      <c r="M318">
        <v>48256</v>
      </c>
      <c r="N318">
        <v>40</v>
      </c>
      <c r="O318" t="s">
        <v>42</v>
      </c>
      <c r="P318" t="s">
        <v>51</v>
      </c>
      <c r="Q318" s="1">
        <v>45102</v>
      </c>
      <c r="R318" s="1">
        <v>45017</v>
      </c>
      <c r="S318" t="s">
        <v>35</v>
      </c>
      <c r="T318" s="1">
        <v>45078</v>
      </c>
      <c r="U318">
        <v>2023</v>
      </c>
    </row>
    <row r="319" spans="1:21" x14ac:dyDescent="0.3">
      <c r="A319" t="s">
        <v>429</v>
      </c>
      <c r="B319" t="s">
        <v>37</v>
      </c>
      <c r="C319" t="s">
        <v>38</v>
      </c>
      <c r="D319" t="s">
        <v>190</v>
      </c>
      <c r="E319" s="1">
        <v>45159</v>
      </c>
      <c r="F319" t="s">
        <v>40</v>
      </c>
      <c r="G319" t="s">
        <v>58</v>
      </c>
      <c r="H319">
        <v>10</v>
      </c>
      <c r="I319">
        <v>34755</v>
      </c>
      <c r="J319">
        <v>347550</v>
      </c>
      <c r="K319">
        <v>145038</v>
      </c>
      <c r="L319">
        <v>52750</v>
      </c>
      <c r="M319">
        <v>149762</v>
      </c>
      <c r="N319">
        <v>15</v>
      </c>
      <c r="O319" t="s">
        <v>50</v>
      </c>
      <c r="P319" t="s">
        <v>51</v>
      </c>
      <c r="Q319" s="1">
        <v>45158</v>
      </c>
      <c r="R319" s="1">
        <v>45108</v>
      </c>
      <c r="S319" t="s">
        <v>92</v>
      </c>
      <c r="T319" s="1">
        <v>45139</v>
      </c>
      <c r="U319">
        <v>2023</v>
      </c>
    </row>
    <row r="320" spans="1:21" x14ac:dyDescent="0.3">
      <c r="A320" t="s">
        <v>430</v>
      </c>
      <c r="B320" t="s">
        <v>22</v>
      </c>
      <c r="C320" t="s">
        <v>23</v>
      </c>
      <c r="D320" t="s">
        <v>152</v>
      </c>
      <c r="E320" s="1">
        <v>45124</v>
      </c>
      <c r="F320" t="s">
        <v>57</v>
      </c>
      <c r="G320" t="s">
        <v>58</v>
      </c>
      <c r="H320">
        <v>10</v>
      </c>
      <c r="I320">
        <v>51058</v>
      </c>
      <c r="J320">
        <v>510580</v>
      </c>
      <c r="K320">
        <v>252097</v>
      </c>
      <c r="L320">
        <v>90878</v>
      </c>
      <c r="M320">
        <v>167605</v>
      </c>
      <c r="N320">
        <v>18</v>
      </c>
      <c r="O320" t="s">
        <v>61</v>
      </c>
      <c r="P320" t="s">
        <v>51</v>
      </c>
      <c r="Q320" s="1">
        <v>45123</v>
      </c>
      <c r="R320" s="1">
        <v>45108</v>
      </c>
      <c r="S320" t="s">
        <v>29</v>
      </c>
      <c r="T320" s="1">
        <v>45108</v>
      </c>
      <c r="U320">
        <v>2023</v>
      </c>
    </row>
    <row r="321" spans="1:21" x14ac:dyDescent="0.3">
      <c r="A321" t="s">
        <v>431</v>
      </c>
      <c r="B321" t="s">
        <v>22</v>
      </c>
      <c r="C321" t="s">
        <v>23</v>
      </c>
      <c r="D321" t="s">
        <v>39</v>
      </c>
      <c r="E321" s="1">
        <v>45165</v>
      </c>
      <c r="F321" t="s">
        <v>40</v>
      </c>
      <c r="G321" t="s">
        <v>41</v>
      </c>
      <c r="H321">
        <v>8</v>
      </c>
      <c r="I321">
        <v>24788</v>
      </c>
      <c r="J321">
        <v>198304</v>
      </c>
      <c r="K321">
        <v>110397</v>
      </c>
      <c r="L321">
        <v>20610</v>
      </c>
      <c r="M321">
        <v>67297</v>
      </c>
      <c r="N321">
        <v>14</v>
      </c>
      <c r="O321" t="s">
        <v>34</v>
      </c>
      <c r="P321" t="s">
        <v>28</v>
      </c>
      <c r="Q321" s="1">
        <v>45165</v>
      </c>
      <c r="R321" s="1">
        <v>45108</v>
      </c>
      <c r="S321" t="s">
        <v>92</v>
      </c>
      <c r="T321" s="1">
        <v>45139</v>
      </c>
      <c r="U321">
        <v>2023</v>
      </c>
    </row>
    <row r="322" spans="1:21" x14ac:dyDescent="0.3">
      <c r="A322" t="s">
        <v>432</v>
      </c>
      <c r="B322" t="s">
        <v>72</v>
      </c>
      <c r="C322" t="s">
        <v>47</v>
      </c>
      <c r="D322" t="s">
        <v>117</v>
      </c>
      <c r="E322" s="1">
        <v>44992</v>
      </c>
      <c r="F322" t="s">
        <v>49</v>
      </c>
      <c r="G322" t="s">
        <v>41</v>
      </c>
      <c r="H322">
        <v>3</v>
      </c>
      <c r="I322">
        <v>67897</v>
      </c>
      <c r="J322">
        <v>203691</v>
      </c>
      <c r="K322">
        <v>64989</v>
      </c>
      <c r="L322">
        <v>38493</v>
      </c>
      <c r="M322">
        <v>100209</v>
      </c>
      <c r="N322">
        <v>1</v>
      </c>
      <c r="O322" t="s">
        <v>42</v>
      </c>
      <c r="P322" t="s">
        <v>62</v>
      </c>
      <c r="Q322" s="1">
        <v>44990</v>
      </c>
      <c r="R322" s="1">
        <v>44927</v>
      </c>
      <c r="S322" t="s">
        <v>44</v>
      </c>
      <c r="T322" s="1">
        <v>44986</v>
      </c>
      <c r="U322">
        <v>2023</v>
      </c>
    </row>
    <row r="323" spans="1:21" x14ac:dyDescent="0.3">
      <c r="A323" t="s">
        <v>433</v>
      </c>
      <c r="B323" t="s">
        <v>22</v>
      </c>
      <c r="C323" t="s">
        <v>23</v>
      </c>
      <c r="D323" t="s">
        <v>73</v>
      </c>
      <c r="E323" s="1">
        <v>45205</v>
      </c>
      <c r="F323" t="s">
        <v>40</v>
      </c>
      <c r="G323" t="s">
        <v>98</v>
      </c>
      <c r="H323">
        <v>3</v>
      </c>
      <c r="I323">
        <v>22985</v>
      </c>
      <c r="J323">
        <v>68955</v>
      </c>
      <c r="K323">
        <v>31997</v>
      </c>
      <c r="L323">
        <v>9294</v>
      </c>
      <c r="M323">
        <v>27664</v>
      </c>
      <c r="N323">
        <v>3</v>
      </c>
      <c r="O323" t="s">
        <v>42</v>
      </c>
      <c r="P323" t="s">
        <v>99</v>
      </c>
      <c r="Q323" s="1">
        <v>45200</v>
      </c>
      <c r="R323" s="1">
        <v>45200</v>
      </c>
      <c r="S323" t="s">
        <v>52</v>
      </c>
      <c r="T323" s="1">
        <v>45200</v>
      </c>
      <c r="U323">
        <v>2023</v>
      </c>
    </row>
    <row r="324" spans="1:21" x14ac:dyDescent="0.3">
      <c r="A324" t="s">
        <v>434</v>
      </c>
      <c r="B324" t="s">
        <v>37</v>
      </c>
      <c r="C324" t="s">
        <v>38</v>
      </c>
      <c r="D324" t="s">
        <v>87</v>
      </c>
      <c r="E324" s="1">
        <v>45142</v>
      </c>
      <c r="F324" t="s">
        <v>25</v>
      </c>
      <c r="G324" t="s">
        <v>81</v>
      </c>
      <c r="H324">
        <v>1</v>
      </c>
      <c r="I324">
        <v>34211</v>
      </c>
      <c r="J324">
        <v>34211</v>
      </c>
      <c r="K324">
        <v>16987</v>
      </c>
      <c r="L324">
        <v>4976</v>
      </c>
      <c r="M324">
        <v>12248</v>
      </c>
      <c r="N324">
        <v>20</v>
      </c>
      <c r="O324" t="s">
        <v>61</v>
      </c>
      <c r="P324" t="s">
        <v>99</v>
      </c>
      <c r="Q324" s="1">
        <v>45137</v>
      </c>
      <c r="R324" s="1">
        <v>45108</v>
      </c>
      <c r="S324" t="s">
        <v>92</v>
      </c>
      <c r="T324" s="1">
        <v>45139</v>
      </c>
      <c r="U324">
        <v>2023</v>
      </c>
    </row>
    <row r="325" spans="1:21" x14ac:dyDescent="0.3">
      <c r="A325" t="s">
        <v>435</v>
      </c>
      <c r="B325" t="s">
        <v>31</v>
      </c>
      <c r="C325" t="s">
        <v>23</v>
      </c>
      <c r="D325" t="s">
        <v>97</v>
      </c>
      <c r="E325" s="1">
        <v>45083</v>
      </c>
      <c r="F325" t="s">
        <v>49</v>
      </c>
      <c r="G325" t="s">
        <v>33</v>
      </c>
      <c r="H325">
        <v>2</v>
      </c>
      <c r="I325">
        <v>6498</v>
      </c>
      <c r="J325">
        <v>12996</v>
      </c>
      <c r="K325">
        <v>6220</v>
      </c>
      <c r="L325">
        <v>2132</v>
      </c>
      <c r="M325">
        <v>4644</v>
      </c>
      <c r="N325">
        <v>9</v>
      </c>
      <c r="O325" t="s">
        <v>27</v>
      </c>
      <c r="P325" t="s">
        <v>62</v>
      </c>
      <c r="Q325" s="1">
        <v>45081</v>
      </c>
      <c r="R325" s="1">
        <v>45017</v>
      </c>
      <c r="S325" t="s">
        <v>35</v>
      </c>
      <c r="T325" s="1">
        <v>45078</v>
      </c>
      <c r="U325">
        <v>2023</v>
      </c>
    </row>
    <row r="326" spans="1:21" x14ac:dyDescent="0.3">
      <c r="A326" t="s">
        <v>436</v>
      </c>
      <c r="B326" t="s">
        <v>37</v>
      </c>
      <c r="C326" t="s">
        <v>38</v>
      </c>
      <c r="D326" t="s">
        <v>205</v>
      </c>
      <c r="E326" s="1">
        <v>45149</v>
      </c>
      <c r="F326" t="s">
        <v>49</v>
      </c>
      <c r="G326" t="s">
        <v>41</v>
      </c>
      <c r="H326">
        <v>4</v>
      </c>
      <c r="I326">
        <v>53623</v>
      </c>
      <c r="J326">
        <v>214492</v>
      </c>
      <c r="K326">
        <v>95264</v>
      </c>
      <c r="L326">
        <v>23656</v>
      </c>
      <c r="M326">
        <v>95572</v>
      </c>
      <c r="N326">
        <v>15</v>
      </c>
      <c r="O326" t="s">
        <v>27</v>
      </c>
      <c r="P326" t="s">
        <v>99</v>
      </c>
      <c r="Q326" s="1">
        <v>45144</v>
      </c>
      <c r="R326" s="1">
        <v>45108</v>
      </c>
      <c r="S326" t="s">
        <v>92</v>
      </c>
      <c r="T326" s="1">
        <v>45139</v>
      </c>
      <c r="U326">
        <v>2023</v>
      </c>
    </row>
    <row r="327" spans="1:21" x14ac:dyDescent="0.3">
      <c r="A327" t="s">
        <v>437</v>
      </c>
      <c r="B327" t="s">
        <v>37</v>
      </c>
      <c r="C327" t="s">
        <v>38</v>
      </c>
      <c r="D327" t="s">
        <v>60</v>
      </c>
      <c r="E327" s="1">
        <v>45116</v>
      </c>
      <c r="F327" t="s">
        <v>57</v>
      </c>
      <c r="G327" t="s">
        <v>81</v>
      </c>
      <c r="H327">
        <v>6</v>
      </c>
      <c r="I327">
        <v>34520</v>
      </c>
      <c r="J327">
        <v>207120</v>
      </c>
      <c r="K327">
        <v>90375</v>
      </c>
      <c r="L327">
        <v>25499</v>
      </c>
      <c r="M327">
        <v>91246</v>
      </c>
      <c r="N327">
        <v>7</v>
      </c>
      <c r="O327" t="s">
        <v>42</v>
      </c>
      <c r="P327" t="s">
        <v>28</v>
      </c>
      <c r="Q327" s="1">
        <v>45116</v>
      </c>
      <c r="R327" s="1">
        <v>45108</v>
      </c>
      <c r="S327" t="s">
        <v>29</v>
      </c>
      <c r="T327" s="1">
        <v>45108</v>
      </c>
      <c r="U327">
        <v>2023</v>
      </c>
    </row>
    <row r="328" spans="1:21" x14ac:dyDescent="0.3">
      <c r="A328" t="s">
        <v>438</v>
      </c>
      <c r="B328" t="s">
        <v>22</v>
      </c>
      <c r="C328" t="s">
        <v>23</v>
      </c>
      <c r="D328" t="s">
        <v>56</v>
      </c>
      <c r="E328" s="1">
        <v>45189</v>
      </c>
      <c r="F328" t="s">
        <v>25</v>
      </c>
      <c r="G328" t="s">
        <v>81</v>
      </c>
      <c r="H328">
        <v>7</v>
      </c>
      <c r="I328">
        <v>26169</v>
      </c>
      <c r="J328">
        <v>183183</v>
      </c>
      <c r="K328">
        <v>64898</v>
      </c>
      <c r="L328">
        <v>19810</v>
      </c>
      <c r="M328">
        <v>98475</v>
      </c>
      <c r="N328">
        <v>47</v>
      </c>
      <c r="O328" t="s">
        <v>61</v>
      </c>
      <c r="P328" t="s">
        <v>43</v>
      </c>
      <c r="Q328" s="1">
        <v>45186</v>
      </c>
      <c r="R328" s="1">
        <v>45108</v>
      </c>
      <c r="S328" t="s">
        <v>104</v>
      </c>
      <c r="T328" s="1">
        <v>45170</v>
      </c>
      <c r="U328">
        <v>2023</v>
      </c>
    </row>
    <row r="329" spans="1:21" x14ac:dyDescent="0.3">
      <c r="A329" t="s">
        <v>439</v>
      </c>
      <c r="B329" t="s">
        <v>37</v>
      </c>
      <c r="C329" t="s">
        <v>38</v>
      </c>
      <c r="D329" t="s">
        <v>32</v>
      </c>
      <c r="E329" s="1">
        <v>45194</v>
      </c>
      <c r="F329" t="s">
        <v>25</v>
      </c>
      <c r="G329" t="s">
        <v>98</v>
      </c>
      <c r="H329">
        <v>6</v>
      </c>
      <c r="I329">
        <v>42172</v>
      </c>
      <c r="J329">
        <v>253032</v>
      </c>
      <c r="K329">
        <v>101792</v>
      </c>
      <c r="L329">
        <v>43538</v>
      </c>
      <c r="M329">
        <v>107702</v>
      </c>
      <c r="N329">
        <v>13</v>
      </c>
      <c r="O329" t="s">
        <v>50</v>
      </c>
      <c r="P329" t="s">
        <v>51</v>
      </c>
      <c r="Q329" s="1">
        <v>45193</v>
      </c>
      <c r="R329" s="1">
        <v>45108</v>
      </c>
      <c r="S329" t="s">
        <v>104</v>
      </c>
      <c r="T329" s="1">
        <v>45170</v>
      </c>
      <c r="U329">
        <v>2023</v>
      </c>
    </row>
    <row r="330" spans="1:21" x14ac:dyDescent="0.3">
      <c r="A330" t="s">
        <v>440</v>
      </c>
      <c r="B330" t="s">
        <v>22</v>
      </c>
      <c r="C330" t="s">
        <v>23</v>
      </c>
      <c r="D330" t="s">
        <v>60</v>
      </c>
      <c r="E330" s="1">
        <v>45083</v>
      </c>
      <c r="F330" t="s">
        <v>57</v>
      </c>
      <c r="G330" t="s">
        <v>58</v>
      </c>
      <c r="H330">
        <v>9</v>
      </c>
      <c r="I330">
        <v>9946</v>
      </c>
      <c r="J330">
        <v>89514</v>
      </c>
      <c r="K330">
        <v>43012</v>
      </c>
      <c r="L330">
        <v>16795</v>
      </c>
      <c r="M330">
        <v>29707</v>
      </c>
      <c r="N330">
        <v>19</v>
      </c>
      <c r="O330" t="s">
        <v>27</v>
      </c>
      <c r="P330" t="s">
        <v>62</v>
      </c>
      <c r="Q330" s="1">
        <v>45081</v>
      </c>
      <c r="R330" s="1">
        <v>45017</v>
      </c>
      <c r="S330" t="s">
        <v>35</v>
      </c>
      <c r="T330" s="1">
        <v>45078</v>
      </c>
      <c r="U330">
        <v>2023</v>
      </c>
    </row>
    <row r="331" spans="1:21" x14ac:dyDescent="0.3">
      <c r="A331" t="s">
        <v>441</v>
      </c>
      <c r="B331" t="s">
        <v>37</v>
      </c>
      <c r="C331" t="s">
        <v>38</v>
      </c>
      <c r="D331" t="s">
        <v>70</v>
      </c>
      <c r="E331" s="1">
        <v>45250</v>
      </c>
      <c r="F331" t="s">
        <v>57</v>
      </c>
      <c r="G331" t="s">
        <v>41</v>
      </c>
      <c r="H331">
        <v>9</v>
      </c>
      <c r="I331">
        <v>27212</v>
      </c>
      <c r="J331">
        <v>244908</v>
      </c>
      <c r="K331">
        <v>142914</v>
      </c>
      <c r="L331">
        <v>34034</v>
      </c>
      <c r="M331">
        <v>67960</v>
      </c>
      <c r="N331">
        <v>10</v>
      </c>
      <c r="O331" t="s">
        <v>27</v>
      </c>
      <c r="P331" t="s">
        <v>51</v>
      </c>
      <c r="Q331" s="1">
        <v>45249</v>
      </c>
      <c r="R331" s="1">
        <v>45200</v>
      </c>
      <c r="S331" t="s">
        <v>138</v>
      </c>
      <c r="T331" s="1">
        <v>45231</v>
      </c>
      <c r="U331">
        <v>2023</v>
      </c>
    </row>
    <row r="332" spans="1:21" x14ac:dyDescent="0.3">
      <c r="A332" t="s">
        <v>442</v>
      </c>
      <c r="B332" t="s">
        <v>22</v>
      </c>
      <c r="C332" t="s">
        <v>23</v>
      </c>
      <c r="D332" t="s">
        <v>142</v>
      </c>
      <c r="E332" s="1">
        <v>45162</v>
      </c>
      <c r="F332" t="s">
        <v>49</v>
      </c>
      <c r="G332" t="s">
        <v>41</v>
      </c>
      <c r="H332">
        <v>9</v>
      </c>
      <c r="I332">
        <v>15191</v>
      </c>
      <c r="J332">
        <v>136719</v>
      </c>
      <c r="K332">
        <v>66542</v>
      </c>
      <c r="L332">
        <v>20173</v>
      </c>
      <c r="M332">
        <v>50004</v>
      </c>
      <c r="N332">
        <v>8</v>
      </c>
      <c r="O332" t="s">
        <v>42</v>
      </c>
      <c r="P332" t="s">
        <v>84</v>
      </c>
      <c r="Q332" s="1">
        <v>45158</v>
      </c>
      <c r="R332" s="1">
        <v>45108</v>
      </c>
      <c r="S332" t="s">
        <v>92</v>
      </c>
      <c r="T332" s="1">
        <v>45139</v>
      </c>
      <c r="U332">
        <v>2023</v>
      </c>
    </row>
    <row r="333" spans="1:21" x14ac:dyDescent="0.3">
      <c r="A333" t="s">
        <v>443</v>
      </c>
      <c r="B333" t="s">
        <v>46</v>
      </c>
      <c r="C333" t="s">
        <v>47</v>
      </c>
      <c r="D333" t="s">
        <v>128</v>
      </c>
      <c r="E333" s="1">
        <v>45187</v>
      </c>
      <c r="F333" t="s">
        <v>57</v>
      </c>
      <c r="G333" t="s">
        <v>98</v>
      </c>
      <c r="H333">
        <v>6</v>
      </c>
      <c r="I333">
        <v>46737</v>
      </c>
      <c r="J333">
        <v>280422</v>
      </c>
      <c r="K333">
        <v>148958</v>
      </c>
      <c r="L333">
        <v>55162</v>
      </c>
      <c r="M333">
        <v>76302</v>
      </c>
      <c r="N333">
        <v>12</v>
      </c>
      <c r="O333" t="s">
        <v>50</v>
      </c>
      <c r="P333" t="s">
        <v>51</v>
      </c>
      <c r="Q333" s="1">
        <v>45186</v>
      </c>
      <c r="R333" s="1">
        <v>45108</v>
      </c>
      <c r="S333" t="s">
        <v>104</v>
      </c>
      <c r="T333" s="1">
        <v>45170</v>
      </c>
      <c r="U333">
        <v>2023</v>
      </c>
    </row>
    <row r="334" spans="1:21" x14ac:dyDescent="0.3">
      <c r="A334" t="s">
        <v>444</v>
      </c>
      <c r="B334" t="s">
        <v>22</v>
      </c>
      <c r="C334" t="s">
        <v>23</v>
      </c>
      <c r="D334" t="s">
        <v>135</v>
      </c>
      <c r="E334" s="1">
        <v>45035</v>
      </c>
      <c r="F334" t="s">
        <v>49</v>
      </c>
      <c r="G334" t="s">
        <v>64</v>
      </c>
      <c r="H334">
        <v>10</v>
      </c>
      <c r="I334">
        <v>28317</v>
      </c>
      <c r="J334">
        <v>283170</v>
      </c>
      <c r="K334">
        <v>102898</v>
      </c>
      <c r="L334">
        <v>31262</v>
      </c>
      <c r="M334">
        <v>149010</v>
      </c>
      <c r="N334">
        <v>9</v>
      </c>
      <c r="O334" t="s">
        <v>34</v>
      </c>
      <c r="P334" t="s">
        <v>43</v>
      </c>
      <c r="Q334" s="1">
        <v>45032</v>
      </c>
      <c r="R334" s="1">
        <v>45017</v>
      </c>
      <c r="S334" t="s">
        <v>74</v>
      </c>
      <c r="T334" s="1">
        <v>45017</v>
      </c>
      <c r="U334">
        <v>2023</v>
      </c>
    </row>
    <row r="335" spans="1:21" x14ac:dyDescent="0.3">
      <c r="A335" t="s">
        <v>445</v>
      </c>
      <c r="B335" t="s">
        <v>72</v>
      </c>
      <c r="C335" t="s">
        <v>47</v>
      </c>
      <c r="D335" t="s">
        <v>97</v>
      </c>
      <c r="E335" s="1">
        <v>45058</v>
      </c>
      <c r="F335" t="s">
        <v>25</v>
      </c>
      <c r="G335" t="s">
        <v>81</v>
      </c>
      <c r="H335">
        <v>5</v>
      </c>
      <c r="I335">
        <v>21281</v>
      </c>
      <c r="J335">
        <v>106405</v>
      </c>
      <c r="K335">
        <v>51085</v>
      </c>
      <c r="L335">
        <v>18237</v>
      </c>
      <c r="M335">
        <v>37083</v>
      </c>
      <c r="N335">
        <v>1</v>
      </c>
      <c r="O335" t="s">
        <v>42</v>
      </c>
      <c r="P335" t="s">
        <v>99</v>
      </c>
      <c r="Q335" s="1">
        <v>45053</v>
      </c>
      <c r="R335" s="1">
        <v>45017</v>
      </c>
      <c r="S335" t="s">
        <v>68</v>
      </c>
      <c r="T335" s="1">
        <v>45047</v>
      </c>
      <c r="U335">
        <v>2023</v>
      </c>
    </row>
    <row r="336" spans="1:21" x14ac:dyDescent="0.3">
      <c r="A336" t="s">
        <v>446</v>
      </c>
      <c r="B336" t="s">
        <v>46</v>
      </c>
      <c r="C336" t="s">
        <v>47</v>
      </c>
      <c r="D336" t="s">
        <v>111</v>
      </c>
      <c r="E336" s="1">
        <v>45238</v>
      </c>
      <c r="F336" t="s">
        <v>25</v>
      </c>
      <c r="G336" t="s">
        <v>26</v>
      </c>
      <c r="H336">
        <v>1</v>
      </c>
      <c r="I336">
        <v>38194</v>
      </c>
      <c r="J336">
        <v>38194</v>
      </c>
      <c r="K336">
        <v>17441</v>
      </c>
      <c r="L336">
        <v>4022</v>
      </c>
      <c r="M336">
        <v>16731</v>
      </c>
      <c r="N336">
        <v>17</v>
      </c>
      <c r="O336" t="s">
        <v>34</v>
      </c>
      <c r="P336" t="s">
        <v>43</v>
      </c>
      <c r="Q336" s="1">
        <v>45235</v>
      </c>
      <c r="R336" s="1">
        <v>45200</v>
      </c>
      <c r="S336" t="s">
        <v>138</v>
      </c>
      <c r="T336" s="1">
        <v>45231</v>
      </c>
      <c r="U336">
        <v>2023</v>
      </c>
    </row>
    <row r="337" spans="1:21" x14ac:dyDescent="0.3">
      <c r="A337" t="s">
        <v>447</v>
      </c>
      <c r="B337" t="s">
        <v>46</v>
      </c>
      <c r="C337" t="s">
        <v>47</v>
      </c>
      <c r="D337" t="s">
        <v>114</v>
      </c>
      <c r="E337" s="1">
        <v>45174</v>
      </c>
      <c r="F337" t="s">
        <v>40</v>
      </c>
      <c r="G337" t="s">
        <v>98</v>
      </c>
      <c r="H337">
        <v>4</v>
      </c>
      <c r="I337">
        <v>13541</v>
      </c>
      <c r="J337">
        <v>54164</v>
      </c>
      <c r="K337">
        <v>26919</v>
      </c>
      <c r="L337">
        <v>6100</v>
      </c>
      <c r="M337">
        <v>21145</v>
      </c>
      <c r="N337">
        <v>29</v>
      </c>
      <c r="O337" t="s">
        <v>27</v>
      </c>
      <c r="P337" t="s">
        <v>62</v>
      </c>
      <c r="Q337" s="1">
        <v>45172</v>
      </c>
      <c r="R337" s="1">
        <v>45108</v>
      </c>
      <c r="S337" t="s">
        <v>104</v>
      </c>
      <c r="T337" s="1">
        <v>45170</v>
      </c>
      <c r="U337">
        <v>2023</v>
      </c>
    </row>
    <row r="338" spans="1:21" x14ac:dyDescent="0.3">
      <c r="A338" t="s">
        <v>448</v>
      </c>
      <c r="B338" t="s">
        <v>37</v>
      </c>
      <c r="C338" t="s">
        <v>38</v>
      </c>
      <c r="D338" t="s">
        <v>188</v>
      </c>
      <c r="E338" s="1">
        <v>45076</v>
      </c>
      <c r="F338" t="s">
        <v>57</v>
      </c>
      <c r="G338" t="s">
        <v>64</v>
      </c>
      <c r="H338">
        <v>1</v>
      </c>
      <c r="I338">
        <v>45737</v>
      </c>
      <c r="J338">
        <v>45737</v>
      </c>
      <c r="K338">
        <v>18114</v>
      </c>
      <c r="L338">
        <v>7501</v>
      </c>
      <c r="M338">
        <v>20122</v>
      </c>
      <c r="N338">
        <v>41</v>
      </c>
      <c r="O338" t="s">
        <v>61</v>
      </c>
      <c r="P338" t="s">
        <v>62</v>
      </c>
      <c r="Q338" s="1">
        <v>45074</v>
      </c>
      <c r="R338" s="1">
        <v>45017</v>
      </c>
      <c r="S338" t="s">
        <v>68</v>
      </c>
      <c r="T338" s="1">
        <v>45047</v>
      </c>
      <c r="U338">
        <v>2023</v>
      </c>
    </row>
    <row r="339" spans="1:21" x14ac:dyDescent="0.3">
      <c r="A339" t="s">
        <v>449</v>
      </c>
      <c r="B339" t="s">
        <v>31</v>
      </c>
      <c r="C339" t="s">
        <v>23</v>
      </c>
      <c r="D339" t="s">
        <v>97</v>
      </c>
      <c r="E339" s="1">
        <v>45068</v>
      </c>
      <c r="F339" t="s">
        <v>49</v>
      </c>
      <c r="G339" t="s">
        <v>81</v>
      </c>
      <c r="H339">
        <v>1</v>
      </c>
      <c r="I339">
        <v>37719</v>
      </c>
      <c r="J339">
        <v>37719</v>
      </c>
      <c r="K339">
        <v>21713</v>
      </c>
      <c r="L339">
        <v>3983</v>
      </c>
      <c r="M339">
        <v>12023</v>
      </c>
      <c r="N339">
        <v>2</v>
      </c>
      <c r="O339" t="s">
        <v>27</v>
      </c>
      <c r="P339" t="s">
        <v>51</v>
      </c>
      <c r="Q339" s="1">
        <v>45067</v>
      </c>
      <c r="R339" s="1">
        <v>45017</v>
      </c>
      <c r="S339" t="s">
        <v>68</v>
      </c>
      <c r="T339" s="1">
        <v>45047</v>
      </c>
      <c r="U339">
        <v>2023</v>
      </c>
    </row>
    <row r="340" spans="1:21" x14ac:dyDescent="0.3">
      <c r="A340" t="s">
        <v>450</v>
      </c>
      <c r="B340" t="s">
        <v>22</v>
      </c>
      <c r="C340" t="s">
        <v>23</v>
      </c>
      <c r="D340" t="s">
        <v>80</v>
      </c>
      <c r="E340" s="1">
        <v>45120</v>
      </c>
      <c r="F340" t="s">
        <v>57</v>
      </c>
      <c r="G340" t="s">
        <v>33</v>
      </c>
      <c r="H340">
        <v>1</v>
      </c>
      <c r="I340">
        <v>63588</v>
      </c>
      <c r="J340">
        <v>63588</v>
      </c>
      <c r="K340">
        <v>34350</v>
      </c>
      <c r="L340">
        <v>7456</v>
      </c>
      <c r="M340">
        <v>21782</v>
      </c>
      <c r="N340">
        <v>0</v>
      </c>
      <c r="O340" t="s">
        <v>50</v>
      </c>
      <c r="P340" t="s">
        <v>84</v>
      </c>
      <c r="Q340" s="1">
        <v>45116</v>
      </c>
      <c r="R340" s="1">
        <v>45108</v>
      </c>
      <c r="S340" t="s">
        <v>29</v>
      </c>
      <c r="T340" s="1">
        <v>45108</v>
      </c>
      <c r="U340">
        <v>2023</v>
      </c>
    </row>
    <row r="341" spans="1:21" x14ac:dyDescent="0.3">
      <c r="A341" t="s">
        <v>451</v>
      </c>
      <c r="B341" t="s">
        <v>22</v>
      </c>
      <c r="C341" t="s">
        <v>23</v>
      </c>
      <c r="D341" t="s">
        <v>114</v>
      </c>
      <c r="E341" s="1">
        <v>45112</v>
      </c>
      <c r="F341" t="s">
        <v>40</v>
      </c>
      <c r="G341" t="s">
        <v>58</v>
      </c>
      <c r="H341">
        <v>4</v>
      </c>
      <c r="I341">
        <v>26953</v>
      </c>
      <c r="J341">
        <v>107812</v>
      </c>
      <c r="K341">
        <v>61893</v>
      </c>
      <c r="L341">
        <v>17678</v>
      </c>
      <c r="M341">
        <v>28241</v>
      </c>
      <c r="N341">
        <v>36</v>
      </c>
      <c r="O341" t="s">
        <v>27</v>
      </c>
      <c r="P341" t="s">
        <v>43</v>
      </c>
      <c r="Q341" s="1">
        <v>45109</v>
      </c>
      <c r="R341" s="1">
        <v>45108</v>
      </c>
      <c r="S341" t="s">
        <v>29</v>
      </c>
      <c r="T341" s="1">
        <v>45108</v>
      </c>
      <c r="U341">
        <v>2023</v>
      </c>
    </row>
    <row r="342" spans="1:21" x14ac:dyDescent="0.3">
      <c r="A342" t="s">
        <v>452</v>
      </c>
      <c r="B342" t="s">
        <v>37</v>
      </c>
      <c r="C342" t="s">
        <v>38</v>
      </c>
      <c r="D342" t="s">
        <v>205</v>
      </c>
      <c r="E342" s="1">
        <v>45027</v>
      </c>
      <c r="F342" t="s">
        <v>40</v>
      </c>
      <c r="G342" t="s">
        <v>98</v>
      </c>
      <c r="H342">
        <v>7</v>
      </c>
      <c r="I342">
        <v>11242</v>
      </c>
      <c r="J342">
        <v>78694</v>
      </c>
      <c r="K342">
        <v>38632</v>
      </c>
      <c r="L342">
        <v>13101</v>
      </c>
      <c r="M342">
        <v>26961</v>
      </c>
      <c r="N342">
        <v>47</v>
      </c>
      <c r="O342" t="s">
        <v>34</v>
      </c>
      <c r="P342" t="s">
        <v>62</v>
      </c>
      <c r="Q342" s="1">
        <v>45025</v>
      </c>
      <c r="R342" s="1">
        <v>45017</v>
      </c>
      <c r="S342" t="s">
        <v>74</v>
      </c>
      <c r="T342" s="1">
        <v>45017</v>
      </c>
      <c r="U342">
        <v>2023</v>
      </c>
    </row>
    <row r="343" spans="1:21" x14ac:dyDescent="0.3">
      <c r="A343" t="s">
        <v>453</v>
      </c>
      <c r="B343" t="s">
        <v>22</v>
      </c>
      <c r="C343" t="s">
        <v>23</v>
      </c>
      <c r="D343" t="s">
        <v>97</v>
      </c>
      <c r="E343" s="1">
        <v>45126</v>
      </c>
      <c r="F343" t="s">
        <v>57</v>
      </c>
      <c r="G343" t="s">
        <v>98</v>
      </c>
      <c r="H343">
        <v>7</v>
      </c>
      <c r="I343">
        <v>17054</v>
      </c>
      <c r="J343">
        <v>119378</v>
      </c>
      <c r="K343">
        <v>70768</v>
      </c>
      <c r="L343">
        <v>17192</v>
      </c>
      <c r="M343">
        <v>31418</v>
      </c>
      <c r="N343">
        <v>36</v>
      </c>
      <c r="O343" t="s">
        <v>27</v>
      </c>
      <c r="P343" t="s">
        <v>43</v>
      </c>
      <c r="Q343" s="1">
        <v>45123</v>
      </c>
      <c r="R343" s="1">
        <v>45108</v>
      </c>
      <c r="S343" t="s">
        <v>29</v>
      </c>
      <c r="T343" s="1">
        <v>45108</v>
      </c>
      <c r="U343">
        <v>2023</v>
      </c>
    </row>
    <row r="344" spans="1:21" x14ac:dyDescent="0.3">
      <c r="A344" t="s">
        <v>454</v>
      </c>
      <c r="B344" t="s">
        <v>31</v>
      </c>
      <c r="C344" t="s">
        <v>23</v>
      </c>
      <c r="D344" t="s">
        <v>60</v>
      </c>
      <c r="E344" s="1">
        <v>45081</v>
      </c>
      <c r="F344" t="s">
        <v>49</v>
      </c>
      <c r="G344" t="s">
        <v>41</v>
      </c>
      <c r="H344">
        <v>9</v>
      </c>
      <c r="I344">
        <v>23261</v>
      </c>
      <c r="J344">
        <v>209349</v>
      </c>
      <c r="K344">
        <v>124265</v>
      </c>
      <c r="L344">
        <v>34062</v>
      </c>
      <c r="M344">
        <v>51022</v>
      </c>
      <c r="N344">
        <v>5</v>
      </c>
      <c r="O344" t="s">
        <v>34</v>
      </c>
      <c r="P344" t="s">
        <v>28</v>
      </c>
      <c r="Q344" s="1">
        <v>45081</v>
      </c>
      <c r="R344" s="1">
        <v>45017</v>
      </c>
      <c r="S344" t="s">
        <v>35</v>
      </c>
      <c r="T344" s="1">
        <v>45078</v>
      </c>
      <c r="U344">
        <v>2023</v>
      </c>
    </row>
    <row r="345" spans="1:21" x14ac:dyDescent="0.3">
      <c r="A345" t="s">
        <v>455</v>
      </c>
      <c r="B345" t="s">
        <v>37</v>
      </c>
      <c r="C345" t="s">
        <v>38</v>
      </c>
      <c r="D345" t="s">
        <v>101</v>
      </c>
      <c r="E345" s="1">
        <v>45188</v>
      </c>
      <c r="F345" t="s">
        <v>57</v>
      </c>
      <c r="G345" t="s">
        <v>26</v>
      </c>
      <c r="H345">
        <v>3</v>
      </c>
      <c r="I345">
        <v>50235</v>
      </c>
      <c r="J345">
        <v>150705</v>
      </c>
      <c r="K345">
        <v>72527</v>
      </c>
      <c r="L345">
        <v>16802</v>
      </c>
      <c r="M345">
        <v>61376</v>
      </c>
      <c r="N345">
        <v>50</v>
      </c>
      <c r="O345" t="s">
        <v>42</v>
      </c>
      <c r="P345" t="s">
        <v>62</v>
      </c>
      <c r="Q345" s="1">
        <v>45186</v>
      </c>
      <c r="R345" s="1">
        <v>45108</v>
      </c>
      <c r="S345" t="s">
        <v>104</v>
      </c>
      <c r="T345" s="1">
        <v>45170</v>
      </c>
      <c r="U345">
        <v>2023</v>
      </c>
    </row>
    <row r="346" spans="1:21" x14ac:dyDescent="0.3">
      <c r="A346" t="s">
        <v>456</v>
      </c>
      <c r="B346" t="s">
        <v>72</v>
      </c>
      <c r="C346" t="s">
        <v>47</v>
      </c>
      <c r="D346" t="s">
        <v>101</v>
      </c>
      <c r="E346" s="1">
        <v>45231</v>
      </c>
      <c r="F346" t="s">
        <v>40</v>
      </c>
      <c r="G346" t="s">
        <v>81</v>
      </c>
      <c r="H346">
        <v>2</v>
      </c>
      <c r="I346">
        <v>51586</v>
      </c>
      <c r="J346">
        <v>103172</v>
      </c>
      <c r="K346">
        <v>32956</v>
      </c>
      <c r="L346">
        <v>18803</v>
      </c>
      <c r="M346">
        <v>51413</v>
      </c>
      <c r="N346">
        <v>2</v>
      </c>
      <c r="O346" t="s">
        <v>50</v>
      </c>
      <c r="P346" t="s">
        <v>43</v>
      </c>
      <c r="Q346" s="1">
        <v>45228</v>
      </c>
      <c r="R346" s="1">
        <v>45200</v>
      </c>
      <c r="S346" t="s">
        <v>138</v>
      </c>
      <c r="T346" s="1">
        <v>45231</v>
      </c>
      <c r="U346">
        <v>2023</v>
      </c>
    </row>
    <row r="347" spans="1:21" x14ac:dyDescent="0.3">
      <c r="A347" t="s">
        <v>457</v>
      </c>
      <c r="B347" t="s">
        <v>31</v>
      </c>
      <c r="C347" t="s">
        <v>23</v>
      </c>
      <c r="D347" t="s">
        <v>60</v>
      </c>
      <c r="E347" s="1">
        <v>45231</v>
      </c>
      <c r="F347" t="s">
        <v>25</v>
      </c>
      <c r="G347" t="s">
        <v>98</v>
      </c>
      <c r="H347">
        <v>1</v>
      </c>
      <c r="I347">
        <v>67366</v>
      </c>
      <c r="J347">
        <v>67366</v>
      </c>
      <c r="K347">
        <v>30594</v>
      </c>
      <c r="L347">
        <v>10891</v>
      </c>
      <c r="M347">
        <v>25881</v>
      </c>
      <c r="N347">
        <v>0</v>
      </c>
      <c r="O347" t="s">
        <v>27</v>
      </c>
      <c r="P347" t="s">
        <v>43</v>
      </c>
      <c r="Q347" s="1">
        <v>45228</v>
      </c>
      <c r="R347" s="1">
        <v>45200</v>
      </c>
      <c r="S347" t="s">
        <v>138</v>
      </c>
      <c r="T347" s="1">
        <v>45231</v>
      </c>
      <c r="U347">
        <v>2023</v>
      </c>
    </row>
    <row r="348" spans="1:21" x14ac:dyDescent="0.3">
      <c r="A348" t="s">
        <v>458</v>
      </c>
      <c r="B348" t="s">
        <v>46</v>
      </c>
      <c r="C348" t="s">
        <v>47</v>
      </c>
      <c r="D348" t="s">
        <v>301</v>
      </c>
      <c r="E348" s="1">
        <v>45023</v>
      </c>
      <c r="F348" t="s">
        <v>49</v>
      </c>
      <c r="G348" t="s">
        <v>41</v>
      </c>
      <c r="H348">
        <v>1</v>
      </c>
      <c r="I348">
        <v>11718</v>
      </c>
      <c r="J348">
        <v>11718</v>
      </c>
      <c r="K348">
        <v>3739</v>
      </c>
      <c r="L348">
        <v>1589</v>
      </c>
      <c r="M348">
        <v>6390</v>
      </c>
      <c r="N348">
        <v>37</v>
      </c>
      <c r="O348" t="s">
        <v>61</v>
      </c>
      <c r="P348" t="s">
        <v>99</v>
      </c>
      <c r="Q348" s="1">
        <v>45018</v>
      </c>
      <c r="R348" s="1">
        <v>45017</v>
      </c>
      <c r="S348" t="s">
        <v>74</v>
      </c>
      <c r="T348" s="1">
        <v>45017</v>
      </c>
      <c r="U348">
        <v>2023</v>
      </c>
    </row>
    <row r="349" spans="1:21" x14ac:dyDescent="0.3">
      <c r="A349" t="s">
        <v>459</v>
      </c>
      <c r="B349" t="s">
        <v>37</v>
      </c>
      <c r="C349" t="s">
        <v>38</v>
      </c>
      <c r="D349" t="s">
        <v>154</v>
      </c>
      <c r="E349" s="1">
        <v>45054</v>
      </c>
      <c r="F349" t="s">
        <v>40</v>
      </c>
      <c r="G349" t="s">
        <v>58</v>
      </c>
      <c r="H349">
        <v>7</v>
      </c>
      <c r="I349">
        <v>52564</v>
      </c>
      <c r="J349">
        <v>367948</v>
      </c>
      <c r="K349">
        <v>126396</v>
      </c>
      <c r="L349">
        <v>51718</v>
      </c>
      <c r="M349">
        <v>189834</v>
      </c>
      <c r="N349">
        <v>45</v>
      </c>
      <c r="O349" t="s">
        <v>27</v>
      </c>
      <c r="P349" t="s">
        <v>51</v>
      </c>
      <c r="Q349" s="1">
        <v>45053</v>
      </c>
      <c r="R349" s="1">
        <v>45017</v>
      </c>
      <c r="S349" t="s">
        <v>68</v>
      </c>
      <c r="T349" s="1">
        <v>45047</v>
      </c>
      <c r="U349">
        <v>2023</v>
      </c>
    </row>
    <row r="350" spans="1:21" x14ac:dyDescent="0.3">
      <c r="A350" t="s">
        <v>460</v>
      </c>
      <c r="B350" t="s">
        <v>37</v>
      </c>
      <c r="C350" t="s">
        <v>38</v>
      </c>
      <c r="D350" t="s">
        <v>209</v>
      </c>
      <c r="E350" s="1">
        <v>45183</v>
      </c>
      <c r="F350" t="s">
        <v>57</v>
      </c>
      <c r="G350" t="s">
        <v>98</v>
      </c>
      <c r="H350">
        <v>5</v>
      </c>
      <c r="I350">
        <v>29884</v>
      </c>
      <c r="J350">
        <v>149420</v>
      </c>
      <c r="K350">
        <v>58476</v>
      </c>
      <c r="L350">
        <v>17969</v>
      </c>
      <c r="M350">
        <v>72975</v>
      </c>
      <c r="N350">
        <v>4</v>
      </c>
      <c r="O350" t="s">
        <v>50</v>
      </c>
      <c r="P350" t="s">
        <v>84</v>
      </c>
      <c r="Q350" s="1">
        <v>45179</v>
      </c>
      <c r="R350" s="1">
        <v>45108</v>
      </c>
      <c r="S350" t="s">
        <v>104</v>
      </c>
      <c r="T350" s="1">
        <v>45170</v>
      </c>
      <c r="U350">
        <v>2023</v>
      </c>
    </row>
    <row r="351" spans="1:21" x14ac:dyDescent="0.3">
      <c r="A351" t="s">
        <v>461</v>
      </c>
      <c r="B351" t="s">
        <v>37</v>
      </c>
      <c r="C351" t="s">
        <v>38</v>
      </c>
      <c r="D351" t="s">
        <v>209</v>
      </c>
      <c r="E351" s="1">
        <v>45106</v>
      </c>
      <c r="F351" t="s">
        <v>25</v>
      </c>
      <c r="G351" t="s">
        <v>58</v>
      </c>
      <c r="H351">
        <v>8</v>
      </c>
      <c r="I351">
        <v>68614</v>
      </c>
      <c r="J351">
        <v>548912</v>
      </c>
      <c r="K351">
        <v>320597</v>
      </c>
      <c r="L351">
        <v>95150</v>
      </c>
      <c r="M351">
        <v>133165</v>
      </c>
      <c r="N351">
        <v>22</v>
      </c>
      <c r="O351" t="s">
        <v>34</v>
      </c>
      <c r="P351" t="s">
        <v>84</v>
      </c>
      <c r="Q351" s="1">
        <v>45102</v>
      </c>
      <c r="R351" s="1">
        <v>45017</v>
      </c>
      <c r="S351" t="s">
        <v>35</v>
      </c>
      <c r="T351" s="1">
        <v>45078</v>
      </c>
      <c r="U351">
        <v>2023</v>
      </c>
    </row>
    <row r="352" spans="1:21" x14ac:dyDescent="0.3">
      <c r="A352" t="s">
        <v>462</v>
      </c>
      <c r="B352" t="s">
        <v>22</v>
      </c>
      <c r="C352" t="s">
        <v>23</v>
      </c>
      <c r="D352" t="s">
        <v>145</v>
      </c>
      <c r="E352" s="1">
        <v>44937</v>
      </c>
      <c r="F352" t="s">
        <v>40</v>
      </c>
      <c r="G352" t="s">
        <v>33</v>
      </c>
      <c r="H352">
        <v>7</v>
      </c>
      <c r="I352">
        <v>38270</v>
      </c>
      <c r="J352">
        <v>267890</v>
      </c>
      <c r="K352">
        <v>110854</v>
      </c>
      <c r="L352">
        <v>39138</v>
      </c>
      <c r="M352">
        <v>117898</v>
      </c>
      <c r="N352">
        <v>8</v>
      </c>
      <c r="O352" t="s">
        <v>42</v>
      </c>
      <c r="P352" t="s">
        <v>43</v>
      </c>
      <c r="Q352" s="1">
        <v>44934</v>
      </c>
      <c r="R352" s="1">
        <v>44927</v>
      </c>
      <c r="S352" t="s">
        <v>95</v>
      </c>
      <c r="T352" s="1">
        <v>44927</v>
      </c>
      <c r="U352">
        <v>2023</v>
      </c>
    </row>
    <row r="353" spans="1:21" x14ac:dyDescent="0.3">
      <c r="A353" t="s">
        <v>463</v>
      </c>
      <c r="B353" t="s">
        <v>46</v>
      </c>
      <c r="C353" t="s">
        <v>47</v>
      </c>
      <c r="D353" t="s">
        <v>219</v>
      </c>
      <c r="E353" s="1">
        <v>45166</v>
      </c>
      <c r="F353" t="s">
        <v>49</v>
      </c>
      <c r="G353" t="s">
        <v>26</v>
      </c>
      <c r="H353">
        <v>7</v>
      </c>
      <c r="I353">
        <v>32026</v>
      </c>
      <c r="J353">
        <v>224182</v>
      </c>
      <c r="K353">
        <v>77770</v>
      </c>
      <c r="L353">
        <v>42290</v>
      </c>
      <c r="M353">
        <v>104122</v>
      </c>
      <c r="N353">
        <v>49</v>
      </c>
      <c r="O353" t="s">
        <v>50</v>
      </c>
      <c r="P353" t="s">
        <v>51</v>
      </c>
      <c r="Q353" s="1">
        <v>45165</v>
      </c>
      <c r="R353" s="1">
        <v>45108</v>
      </c>
      <c r="S353" t="s">
        <v>92</v>
      </c>
      <c r="T353" s="1">
        <v>45139</v>
      </c>
      <c r="U353">
        <v>2023</v>
      </c>
    </row>
    <row r="354" spans="1:21" x14ac:dyDescent="0.3">
      <c r="A354" t="s">
        <v>464</v>
      </c>
      <c r="B354" t="s">
        <v>46</v>
      </c>
      <c r="C354" t="s">
        <v>47</v>
      </c>
      <c r="D354" t="s">
        <v>32</v>
      </c>
      <c r="E354" s="1">
        <v>45119</v>
      </c>
      <c r="F354" t="s">
        <v>49</v>
      </c>
      <c r="G354" t="s">
        <v>41</v>
      </c>
      <c r="H354">
        <v>4</v>
      </c>
      <c r="I354">
        <v>17882</v>
      </c>
      <c r="J354">
        <v>71528</v>
      </c>
      <c r="K354">
        <v>35941</v>
      </c>
      <c r="L354">
        <v>7850</v>
      </c>
      <c r="M354">
        <v>27737</v>
      </c>
      <c r="N354">
        <v>44</v>
      </c>
      <c r="O354" t="s">
        <v>42</v>
      </c>
      <c r="P354" t="s">
        <v>43</v>
      </c>
      <c r="Q354" s="1">
        <v>45116</v>
      </c>
      <c r="R354" s="1">
        <v>45108</v>
      </c>
      <c r="S354" t="s">
        <v>29</v>
      </c>
      <c r="T354" s="1">
        <v>45108</v>
      </c>
      <c r="U354">
        <v>2023</v>
      </c>
    </row>
    <row r="355" spans="1:21" x14ac:dyDescent="0.3">
      <c r="A355" t="s">
        <v>465</v>
      </c>
      <c r="B355" t="s">
        <v>22</v>
      </c>
      <c r="C355" t="s">
        <v>23</v>
      </c>
      <c r="D355" t="s">
        <v>190</v>
      </c>
      <c r="E355" s="1">
        <v>45101</v>
      </c>
      <c r="F355" t="s">
        <v>40</v>
      </c>
      <c r="G355" t="s">
        <v>41</v>
      </c>
      <c r="H355">
        <v>1</v>
      </c>
      <c r="I355">
        <v>17855</v>
      </c>
      <c r="J355">
        <v>17855</v>
      </c>
      <c r="K355">
        <v>7553</v>
      </c>
      <c r="L355">
        <v>2281</v>
      </c>
      <c r="M355">
        <v>8021</v>
      </c>
      <c r="N355">
        <v>15</v>
      </c>
      <c r="O355" t="s">
        <v>42</v>
      </c>
      <c r="P355" t="s">
        <v>67</v>
      </c>
      <c r="Q355" s="1">
        <v>45095</v>
      </c>
      <c r="R355" s="1">
        <v>45017</v>
      </c>
      <c r="S355" t="s">
        <v>35</v>
      </c>
      <c r="T355" s="1">
        <v>45078</v>
      </c>
      <c r="U355">
        <v>2023</v>
      </c>
    </row>
    <row r="356" spans="1:21" x14ac:dyDescent="0.3">
      <c r="A356" t="s">
        <v>466</v>
      </c>
      <c r="B356" t="s">
        <v>22</v>
      </c>
      <c r="C356" t="s">
        <v>23</v>
      </c>
      <c r="D356" t="s">
        <v>66</v>
      </c>
      <c r="E356" s="1">
        <v>45224</v>
      </c>
      <c r="F356" t="s">
        <v>40</v>
      </c>
      <c r="G356" t="s">
        <v>58</v>
      </c>
      <c r="H356">
        <v>6</v>
      </c>
      <c r="I356">
        <v>2910</v>
      </c>
      <c r="J356">
        <v>17460</v>
      </c>
      <c r="K356">
        <v>5936</v>
      </c>
      <c r="L356">
        <v>2614</v>
      </c>
      <c r="M356">
        <v>8910</v>
      </c>
      <c r="N356">
        <v>40</v>
      </c>
      <c r="O356" t="s">
        <v>42</v>
      </c>
      <c r="P356" t="s">
        <v>43</v>
      </c>
      <c r="Q356" s="1">
        <v>45221</v>
      </c>
      <c r="R356" s="1">
        <v>45200</v>
      </c>
      <c r="S356" t="s">
        <v>52</v>
      </c>
      <c r="T356" s="1">
        <v>45200</v>
      </c>
      <c r="U356">
        <v>2023</v>
      </c>
    </row>
    <row r="357" spans="1:21" x14ac:dyDescent="0.3">
      <c r="A357" t="s">
        <v>467</v>
      </c>
      <c r="B357" t="s">
        <v>72</v>
      </c>
      <c r="C357" t="s">
        <v>47</v>
      </c>
      <c r="D357" t="s">
        <v>78</v>
      </c>
      <c r="E357" s="1">
        <v>45132</v>
      </c>
      <c r="F357" t="s">
        <v>40</v>
      </c>
      <c r="G357" t="s">
        <v>98</v>
      </c>
      <c r="H357">
        <v>4</v>
      </c>
      <c r="I357">
        <v>13250</v>
      </c>
      <c r="J357">
        <v>53000</v>
      </c>
      <c r="K357">
        <v>24060</v>
      </c>
      <c r="L357">
        <v>8993</v>
      </c>
      <c r="M357">
        <v>19947</v>
      </c>
      <c r="N357">
        <v>49</v>
      </c>
      <c r="O357" t="s">
        <v>61</v>
      </c>
      <c r="P357" t="s">
        <v>62</v>
      </c>
      <c r="Q357" s="1">
        <v>45130</v>
      </c>
      <c r="R357" s="1">
        <v>45108</v>
      </c>
      <c r="S357" t="s">
        <v>29</v>
      </c>
      <c r="T357" s="1">
        <v>45108</v>
      </c>
      <c r="U357">
        <v>2023</v>
      </c>
    </row>
    <row r="358" spans="1:21" x14ac:dyDescent="0.3">
      <c r="A358" t="s">
        <v>468</v>
      </c>
      <c r="B358" t="s">
        <v>72</v>
      </c>
      <c r="C358" t="s">
        <v>47</v>
      </c>
      <c r="D358" t="s">
        <v>83</v>
      </c>
      <c r="E358" s="1">
        <v>44939</v>
      </c>
      <c r="F358" t="s">
        <v>25</v>
      </c>
      <c r="G358" t="s">
        <v>26</v>
      </c>
      <c r="H358">
        <v>9</v>
      </c>
      <c r="I358">
        <v>50388</v>
      </c>
      <c r="J358">
        <v>453492</v>
      </c>
      <c r="K358">
        <v>259733</v>
      </c>
      <c r="L358">
        <v>84090</v>
      </c>
      <c r="M358">
        <v>109669</v>
      </c>
      <c r="N358">
        <v>37</v>
      </c>
      <c r="O358" t="s">
        <v>27</v>
      </c>
      <c r="P358" t="s">
        <v>99</v>
      </c>
      <c r="Q358" s="1">
        <v>44934</v>
      </c>
      <c r="R358" s="1">
        <v>44927</v>
      </c>
      <c r="S358" t="s">
        <v>95</v>
      </c>
      <c r="T358" s="1">
        <v>44927</v>
      </c>
      <c r="U358">
        <v>2023</v>
      </c>
    </row>
    <row r="359" spans="1:21" x14ac:dyDescent="0.3">
      <c r="A359" t="s">
        <v>469</v>
      </c>
      <c r="B359" t="s">
        <v>37</v>
      </c>
      <c r="C359" t="s">
        <v>38</v>
      </c>
      <c r="D359" t="s">
        <v>148</v>
      </c>
      <c r="E359" s="1">
        <v>45229</v>
      </c>
      <c r="F359" t="s">
        <v>40</v>
      </c>
      <c r="G359" t="s">
        <v>98</v>
      </c>
      <c r="H359">
        <v>8</v>
      </c>
      <c r="I359">
        <v>10347</v>
      </c>
      <c r="J359">
        <v>82776</v>
      </c>
      <c r="K359">
        <v>32497</v>
      </c>
      <c r="L359">
        <v>11158</v>
      </c>
      <c r="M359">
        <v>39121</v>
      </c>
      <c r="N359">
        <v>10</v>
      </c>
      <c r="O359" t="s">
        <v>42</v>
      </c>
      <c r="P359" t="s">
        <v>51</v>
      </c>
      <c r="Q359" s="1">
        <v>45228</v>
      </c>
      <c r="R359" s="1">
        <v>45200</v>
      </c>
      <c r="S359" t="s">
        <v>52</v>
      </c>
      <c r="T359" s="1">
        <v>45200</v>
      </c>
      <c r="U359">
        <v>2023</v>
      </c>
    </row>
    <row r="360" spans="1:21" x14ac:dyDescent="0.3">
      <c r="A360" t="s">
        <v>470</v>
      </c>
      <c r="B360" t="s">
        <v>22</v>
      </c>
      <c r="C360" t="s">
        <v>23</v>
      </c>
      <c r="D360" t="s">
        <v>39</v>
      </c>
      <c r="E360" s="1">
        <v>45179</v>
      </c>
      <c r="F360" t="s">
        <v>49</v>
      </c>
      <c r="G360" t="s">
        <v>58</v>
      </c>
      <c r="H360">
        <v>9</v>
      </c>
      <c r="I360">
        <v>47302</v>
      </c>
      <c r="J360">
        <v>425718</v>
      </c>
      <c r="K360">
        <v>175581</v>
      </c>
      <c r="L360">
        <v>69049</v>
      </c>
      <c r="M360">
        <v>181088</v>
      </c>
      <c r="N360">
        <v>37</v>
      </c>
      <c r="O360" t="s">
        <v>50</v>
      </c>
      <c r="P360" t="s">
        <v>28</v>
      </c>
      <c r="Q360" s="1">
        <v>45179</v>
      </c>
      <c r="R360" s="1">
        <v>45108</v>
      </c>
      <c r="S360" t="s">
        <v>104</v>
      </c>
      <c r="T360" s="1">
        <v>45170</v>
      </c>
      <c r="U360">
        <v>2023</v>
      </c>
    </row>
    <row r="361" spans="1:21" x14ac:dyDescent="0.3">
      <c r="A361" t="s">
        <v>471</v>
      </c>
      <c r="B361" t="s">
        <v>72</v>
      </c>
      <c r="C361" t="s">
        <v>47</v>
      </c>
      <c r="D361" t="s">
        <v>70</v>
      </c>
      <c r="E361" s="1">
        <v>45122</v>
      </c>
      <c r="F361" t="s">
        <v>57</v>
      </c>
      <c r="G361" t="s">
        <v>58</v>
      </c>
      <c r="H361">
        <v>3</v>
      </c>
      <c r="I361">
        <v>29500</v>
      </c>
      <c r="J361">
        <v>88500</v>
      </c>
      <c r="K361">
        <v>49537</v>
      </c>
      <c r="L361">
        <v>15422</v>
      </c>
      <c r="M361">
        <v>23541</v>
      </c>
      <c r="N361">
        <v>3</v>
      </c>
      <c r="O361" t="s">
        <v>34</v>
      </c>
      <c r="P361" t="s">
        <v>67</v>
      </c>
      <c r="Q361" s="1">
        <v>45116</v>
      </c>
      <c r="R361" s="1">
        <v>45108</v>
      </c>
      <c r="S361" t="s">
        <v>29</v>
      </c>
      <c r="T361" s="1">
        <v>45108</v>
      </c>
      <c r="U361">
        <v>2023</v>
      </c>
    </row>
    <row r="362" spans="1:21" x14ac:dyDescent="0.3">
      <c r="A362" t="s">
        <v>472</v>
      </c>
      <c r="B362" t="s">
        <v>31</v>
      </c>
      <c r="C362" t="s">
        <v>23</v>
      </c>
      <c r="D362" t="s">
        <v>32</v>
      </c>
      <c r="E362" s="1">
        <v>45178</v>
      </c>
      <c r="F362" t="s">
        <v>57</v>
      </c>
      <c r="G362" t="s">
        <v>33</v>
      </c>
      <c r="H362">
        <v>7</v>
      </c>
      <c r="I362">
        <v>15414</v>
      </c>
      <c r="J362">
        <v>107898</v>
      </c>
      <c r="K362">
        <v>48494</v>
      </c>
      <c r="L362">
        <v>16798</v>
      </c>
      <c r="M362">
        <v>42606</v>
      </c>
      <c r="N362">
        <v>11</v>
      </c>
      <c r="O362" t="s">
        <v>34</v>
      </c>
      <c r="P362" t="s">
        <v>67</v>
      </c>
      <c r="Q362" s="1">
        <v>45172</v>
      </c>
      <c r="R362" s="1">
        <v>45108</v>
      </c>
      <c r="S362" t="s">
        <v>104</v>
      </c>
      <c r="T362" s="1">
        <v>45170</v>
      </c>
      <c r="U362">
        <v>2023</v>
      </c>
    </row>
    <row r="363" spans="1:21" x14ac:dyDescent="0.3">
      <c r="A363" t="s">
        <v>473</v>
      </c>
      <c r="B363" t="s">
        <v>22</v>
      </c>
      <c r="C363" t="s">
        <v>23</v>
      </c>
      <c r="D363" t="s">
        <v>97</v>
      </c>
      <c r="E363" s="1">
        <v>44984</v>
      </c>
      <c r="F363" t="s">
        <v>25</v>
      </c>
      <c r="G363" t="s">
        <v>33</v>
      </c>
      <c r="H363">
        <v>10</v>
      </c>
      <c r="I363">
        <v>26139</v>
      </c>
      <c r="J363">
        <v>261390</v>
      </c>
      <c r="K363">
        <v>105516</v>
      </c>
      <c r="L363">
        <v>37975</v>
      </c>
      <c r="M363">
        <v>117899</v>
      </c>
      <c r="N363">
        <v>38</v>
      </c>
      <c r="O363" t="s">
        <v>50</v>
      </c>
      <c r="P363" t="s">
        <v>51</v>
      </c>
      <c r="Q363" s="1">
        <v>44983</v>
      </c>
      <c r="R363" s="1">
        <v>44927</v>
      </c>
      <c r="S363" t="s">
        <v>85</v>
      </c>
      <c r="T363" s="1">
        <v>44958</v>
      </c>
      <c r="U363">
        <v>2023</v>
      </c>
    </row>
    <row r="364" spans="1:21" x14ac:dyDescent="0.3">
      <c r="A364" t="s">
        <v>474</v>
      </c>
      <c r="B364" t="s">
        <v>46</v>
      </c>
      <c r="C364" t="s">
        <v>47</v>
      </c>
      <c r="D364" t="s">
        <v>135</v>
      </c>
      <c r="E364" s="1">
        <v>45122</v>
      </c>
      <c r="F364" t="s">
        <v>57</v>
      </c>
      <c r="G364" t="s">
        <v>33</v>
      </c>
      <c r="H364">
        <v>1</v>
      </c>
      <c r="I364">
        <v>7738</v>
      </c>
      <c r="J364">
        <v>7738</v>
      </c>
      <c r="K364">
        <v>2668</v>
      </c>
      <c r="L364">
        <v>808</v>
      </c>
      <c r="M364">
        <v>4262</v>
      </c>
      <c r="N364">
        <v>19</v>
      </c>
      <c r="O364" t="s">
        <v>42</v>
      </c>
      <c r="P364" t="s">
        <v>67</v>
      </c>
      <c r="Q364" s="1">
        <v>45116</v>
      </c>
      <c r="R364" s="1">
        <v>45108</v>
      </c>
      <c r="S364" t="s">
        <v>29</v>
      </c>
      <c r="T364" s="1">
        <v>45108</v>
      </c>
      <c r="U364">
        <v>2023</v>
      </c>
    </row>
    <row r="365" spans="1:21" x14ac:dyDescent="0.3">
      <c r="A365" t="s">
        <v>475</v>
      </c>
      <c r="B365" t="s">
        <v>22</v>
      </c>
      <c r="C365" t="s">
        <v>23</v>
      </c>
      <c r="D365" t="s">
        <v>60</v>
      </c>
      <c r="E365" s="1">
        <v>45168</v>
      </c>
      <c r="F365" t="s">
        <v>49</v>
      </c>
      <c r="G365" t="s">
        <v>64</v>
      </c>
      <c r="H365">
        <v>9</v>
      </c>
      <c r="I365">
        <v>15162</v>
      </c>
      <c r="J365">
        <v>136458</v>
      </c>
      <c r="K365">
        <v>51748</v>
      </c>
      <c r="L365">
        <v>24136</v>
      </c>
      <c r="M365">
        <v>60574</v>
      </c>
      <c r="N365">
        <v>50</v>
      </c>
      <c r="O365" t="s">
        <v>27</v>
      </c>
      <c r="P365" t="s">
        <v>43</v>
      </c>
      <c r="Q365" s="1">
        <v>45165</v>
      </c>
      <c r="R365" s="1">
        <v>45108</v>
      </c>
      <c r="S365" t="s">
        <v>92</v>
      </c>
      <c r="T365" s="1">
        <v>45139</v>
      </c>
      <c r="U365">
        <v>2023</v>
      </c>
    </row>
    <row r="366" spans="1:21" x14ac:dyDescent="0.3">
      <c r="A366" t="s">
        <v>476</v>
      </c>
      <c r="B366" t="s">
        <v>46</v>
      </c>
      <c r="C366" t="s">
        <v>47</v>
      </c>
      <c r="D366" t="s">
        <v>154</v>
      </c>
      <c r="E366" s="1">
        <v>45050</v>
      </c>
      <c r="F366" t="s">
        <v>57</v>
      </c>
      <c r="G366" t="s">
        <v>41</v>
      </c>
      <c r="H366">
        <v>3</v>
      </c>
      <c r="I366">
        <v>60883</v>
      </c>
      <c r="J366">
        <v>182649</v>
      </c>
      <c r="K366">
        <v>76100</v>
      </c>
      <c r="L366">
        <v>29547</v>
      </c>
      <c r="M366">
        <v>77002</v>
      </c>
      <c r="N366">
        <v>23</v>
      </c>
      <c r="O366" t="s">
        <v>42</v>
      </c>
      <c r="P366" t="s">
        <v>84</v>
      </c>
      <c r="Q366" s="1">
        <v>45046</v>
      </c>
      <c r="R366" s="1">
        <v>45017</v>
      </c>
      <c r="S366" t="s">
        <v>68</v>
      </c>
      <c r="T366" s="1">
        <v>45047</v>
      </c>
      <c r="U366">
        <v>2023</v>
      </c>
    </row>
    <row r="367" spans="1:21" x14ac:dyDescent="0.3">
      <c r="A367" t="s">
        <v>477</v>
      </c>
      <c r="B367" t="s">
        <v>37</v>
      </c>
      <c r="C367" t="s">
        <v>38</v>
      </c>
      <c r="D367" t="s">
        <v>163</v>
      </c>
      <c r="E367" s="1">
        <v>44980</v>
      </c>
      <c r="F367" t="s">
        <v>40</v>
      </c>
      <c r="G367" t="s">
        <v>33</v>
      </c>
      <c r="H367">
        <v>3</v>
      </c>
      <c r="I367">
        <v>58907</v>
      </c>
      <c r="J367">
        <v>176721</v>
      </c>
      <c r="K367">
        <v>98709</v>
      </c>
      <c r="L367">
        <v>29392</v>
      </c>
      <c r="M367">
        <v>48620</v>
      </c>
      <c r="N367">
        <v>41</v>
      </c>
      <c r="O367" t="s">
        <v>27</v>
      </c>
      <c r="P367" t="s">
        <v>84</v>
      </c>
      <c r="Q367" s="1">
        <v>44976</v>
      </c>
      <c r="R367" s="1">
        <v>44927</v>
      </c>
      <c r="S367" t="s">
        <v>85</v>
      </c>
      <c r="T367" s="1">
        <v>44958</v>
      </c>
      <c r="U367">
        <v>2023</v>
      </c>
    </row>
    <row r="368" spans="1:21" x14ac:dyDescent="0.3">
      <c r="A368" t="s">
        <v>478</v>
      </c>
      <c r="B368" t="s">
        <v>72</v>
      </c>
      <c r="C368" t="s">
        <v>47</v>
      </c>
      <c r="D368" t="s">
        <v>39</v>
      </c>
      <c r="E368" s="1">
        <v>45232</v>
      </c>
      <c r="F368" t="s">
        <v>40</v>
      </c>
      <c r="G368" t="s">
        <v>98</v>
      </c>
      <c r="H368">
        <v>5</v>
      </c>
      <c r="I368">
        <v>67657</v>
      </c>
      <c r="J368">
        <v>338285</v>
      </c>
      <c r="K368">
        <v>139229</v>
      </c>
      <c r="L368">
        <v>38204</v>
      </c>
      <c r="M368">
        <v>160852</v>
      </c>
      <c r="N368">
        <v>41</v>
      </c>
      <c r="O368" t="s">
        <v>42</v>
      </c>
      <c r="P368" t="s">
        <v>84</v>
      </c>
      <c r="Q368" s="1">
        <v>45228</v>
      </c>
      <c r="R368" s="1">
        <v>45200</v>
      </c>
      <c r="S368" t="s">
        <v>138</v>
      </c>
      <c r="T368" s="1">
        <v>45231</v>
      </c>
      <c r="U368">
        <v>2023</v>
      </c>
    </row>
    <row r="369" spans="1:21" x14ac:dyDescent="0.3">
      <c r="A369" t="s">
        <v>479</v>
      </c>
      <c r="B369" t="s">
        <v>72</v>
      </c>
      <c r="C369" t="s">
        <v>47</v>
      </c>
      <c r="D369" t="s">
        <v>163</v>
      </c>
      <c r="E369" s="1">
        <v>45126</v>
      </c>
      <c r="F369" t="s">
        <v>57</v>
      </c>
      <c r="G369" t="s">
        <v>81</v>
      </c>
      <c r="H369">
        <v>6</v>
      </c>
      <c r="I369">
        <v>3650</v>
      </c>
      <c r="J369">
        <v>21900</v>
      </c>
      <c r="K369">
        <v>12587</v>
      </c>
      <c r="L369">
        <v>4331</v>
      </c>
      <c r="M369">
        <v>4982</v>
      </c>
      <c r="N369">
        <v>12</v>
      </c>
      <c r="O369" t="s">
        <v>42</v>
      </c>
      <c r="P369" t="s">
        <v>43</v>
      </c>
      <c r="Q369" s="1">
        <v>45123</v>
      </c>
      <c r="R369" s="1">
        <v>45108</v>
      </c>
      <c r="S369" t="s">
        <v>29</v>
      </c>
      <c r="T369" s="1">
        <v>45108</v>
      </c>
      <c r="U369">
        <v>2023</v>
      </c>
    </row>
    <row r="370" spans="1:21" x14ac:dyDescent="0.3">
      <c r="A370" t="s">
        <v>480</v>
      </c>
      <c r="B370" t="s">
        <v>22</v>
      </c>
      <c r="C370" t="s">
        <v>23</v>
      </c>
      <c r="D370" t="s">
        <v>128</v>
      </c>
      <c r="E370" s="1">
        <v>45198</v>
      </c>
      <c r="F370" t="s">
        <v>25</v>
      </c>
      <c r="G370" t="s">
        <v>58</v>
      </c>
      <c r="H370">
        <v>6</v>
      </c>
      <c r="I370">
        <v>28411</v>
      </c>
      <c r="J370">
        <v>170466</v>
      </c>
      <c r="K370">
        <v>84665</v>
      </c>
      <c r="L370">
        <v>32337</v>
      </c>
      <c r="M370">
        <v>53464</v>
      </c>
      <c r="N370">
        <v>16</v>
      </c>
      <c r="O370" t="s">
        <v>61</v>
      </c>
      <c r="P370" t="s">
        <v>99</v>
      </c>
      <c r="Q370" s="1">
        <v>45193</v>
      </c>
      <c r="R370" s="1">
        <v>45108</v>
      </c>
      <c r="S370" t="s">
        <v>104</v>
      </c>
      <c r="T370" s="1">
        <v>45170</v>
      </c>
      <c r="U370">
        <v>2023</v>
      </c>
    </row>
    <row r="371" spans="1:21" x14ac:dyDescent="0.3">
      <c r="A371" t="s">
        <v>481</v>
      </c>
      <c r="B371" t="s">
        <v>31</v>
      </c>
      <c r="C371" t="s">
        <v>23</v>
      </c>
      <c r="D371" t="s">
        <v>219</v>
      </c>
      <c r="E371" s="1">
        <v>44996</v>
      </c>
      <c r="F371" t="s">
        <v>40</v>
      </c>
      <c r="G371" t="s">
        <v>64</v>
      </c>
      <c r="H371">
        <v>5</v>
      </c>
      <c r="I371">
        <v>12931</v>
      </c>
      <c r="J371">
        <v>64655</v>
      </c>
      <c r="K371">
        <v>23567</v>
      </c>
      <c r="L371">
        <v>7283</v>
      </c>
      <c r="M371">
        <v>33805</v>
      </c>
      <c r="N371">
        <v>14</v>
      </c>
      <c r="O371" t="s">
        <v>61</v>
      </c>
      <c r="P371" t="s">
        <v>67</v>
      </c>
      <c r="Q371" s="1">
        <v>44990</v>
      </c>
      <c r="R371" s="1">
        <v>44927</v>
      </c>
      <c r="S371" t="s">
        <v>44</v>
      </c>
      <c r="T371" s="1">
        <v>44986</v>
      </c>
      <c r="U371">
        <v>2023</v>
      </c>
    </row>
    <row r="372" spans="1:21" x14ac:dyDescent="0.3">
      <c r="A372" t="s">
        <v>482</v>
      </c>
      <c r="B372" t="s">
        <v>46</v>
      </c>
      <c r="C372" t="s">
        <v>47</v>
      </c>
      <c r="D372" t="s">
        <v>111</v>
      </c>
      <c r="E372" s="1">
        <v>45127</v>
      </c>
      <c r="F372" t="s">
        <v>57</v>
      </c>
      <c r="G372" t="s">
        <v>64</v>
      </c>
      <c r="H372">
        <v>7</v>
      </c>
      <c r="I372">
        <v>46257</v>
      </c>
      <c r="J372">
        <v>323799</v>
      </c>
      <c r="K372">
        <v>160096</v>
      </c>
      <c r="L372">
        <v>38437</v>
      </c>
      <c r="M372">
        <v>125266</v>
      </c>
      <c r="N372">
        <v>2</v>
      </c>
      <c r="O372" t="s">
        <v>50</v>
      </c>
      <c r="P372" t="s">
        <v>84</v>
      </c>
      <c r="Q372" s="1">
        <v>45123</v>
      </c>
      <c r="R372" s="1">
        <v>45108</v>
      </c>
      <c r="S372" t="s">
        <v>29</v>
      </c>
      <c r="T372" s="1">
        <v>45108</v>
      </c>
      <c r="U372">
        <v>2023</v>
      </c>
    </row>
    <row r="373" spans="1:21" x14ac:dyDescent="0.3">
      <c r="A373" t="s">
        <v>483</v>
      </c>
      <c r="B373" t="s">
        <v>22</v>
      </c>
      <c r="C373" t="s">
        <v>23</v>
      </c>
      <c r="D373" t="s">
        <v>54</v>
      </c>
      <c r="E373" s="1">
        <v>45090</v>
      </c>
      <c r="F373" t="s">
        <v>49</v>
      </c>
      <c r="G373" t="s">
        <v>64</v>
      </c>
      <c r="H373">
        <v>5</v>
      </c>
      <c r="I373">
        <v>36286</v>
      </c>
      <c r="J373">
        <v>181430</v>
      </c>
      <c r="K373">
        <v>71359</v>
      </c>
      <c r="L373">
        <v>31630</v>
      </c>
      <c r="M373">
        <v>78441</v>
      </c>
      <c r="N373">
        <v>25</v>
      </c>
      <c r="O373" t="s">
        <v>34</v>
      </c>
      <c r="P373" t="s">
        <v>62</v>
      </c>
      <c r="Q373" s="1">
        <v>45088</v>
      </c>
      <c r="R373" s="1">
        <v>45017</v>
      </c>
      <c r="S373" t="s">
        <v>35</v>
      </c>
      <c r="T373" s="1">
        <v>45078</v>
      </c>
      <c r="U373">
        <v>2023</v>
      </c>
    </row>
    <row r="374" spans="1:21" x14ac:dyDescent="0.3">
      <c r="A374" t="s">
        <v>484</v>
      </c>
      <c r="B374" t="s">
        <v>22</v>
      </c>
      <c r="C374" t="s">
        <v>23</v>
      </c>
      <c r="D374" t="s">
        <v>108</v>
      </c>
      <c r="E374" s="1">
        <v>45169</v>
      </c>
      <c r="F374" t="s">
        <v>25</v>
      </c>
      <c r="G374" t="s">
        <v>58</v>
      </c>
      <c r="H374">
        <v>6</v>
      </c>
      <c r="I374">
        <v>34694</v>
      </c>
      <c r="J374">
        <v>208164</v>
      </c>
      <c r="K374">
        <v>81022</v>
      </c>
      <c r="L374">
        <v>35167</v>
      </c>
      <c r="M374">
        <v>91975</v>
      </c>
      <c r="N374">
        <v>7</v>
      </c>
      <c r="O374" t="s">
        <v>42</v>
      </c>
      <c r="P374" t="s">
        <v>84</v>
      </c>
      <c r="Q374" s="1">
        <v>45165</v>
      </c>
      <c r="R374" s="1">
        <v>45108</v>
      </c>
      <c r="S374" t="s">
        <v>92</v>
      </c>
      <c r="T374" s="1">
        <v>45139</v>
      </c>
      <c r="U374">
        <v>2023</v>
      </c>
    </row>
    <row r="375" spans="1:21" x14ac:dyDescent="0.3">
      <c r="A375" t="s">
        <v>485</v>
      </c>
      <c r="B375" t="s">
        <v>31</v>
      </c>
      <c r="C375" t="s">
        <v>23</v>
      </c>
      <c r="D375" t="s">
        <v>128</v>
      </c>
      <c r="E375" s="1">
        <v>45038</v>
      </c>
      <c r="F375" t="s">
        <v>49</v>
      </c>
      <c r="G375" t="s">
        <v>98</v>
      </c>
      <c r="H375">
        <v>10</v>
      </c>
      <c r="I375">
        <v>38999</v>
      </c>
      <c r="J375">
        <v>389990</v>
      </c>
      <c r="K375">
        <v>177817</v>
      </c>
      <c r="L375">
        <v>76734</v>
      </c>
      <c r="M375">
        <v>135439</v>
      </c>
      <c r="N375">
        <v>40</v>
      </c>
      <c r="O375" t="s">
        <v>27</v>
      </c>
      <c r="P375" t="s">
        <v>67</v>
      </c>
      <c r="Q375" s="1">
        <v>45032</v>
      </c>
      <c r="R375" s="1">
        <v>45017</v>
      </c>
      <c r="S375" t="s">
        <v>74</v>
      </c>
      <c r="T375" s="1">
        <v>45017</v>
      </c>
      <c r="U375">
        <v>2023</v>
      </c>
    </row>
    <row r="376" spans="1:21" x14ac:dyDescent="0.3">
      <c r="A376" t="s">
        <v>486</v>
      </c>
      <c r="B376" t="s">
        <v>31</v>
      </c>
      <c r="C376" t="s">
        <v>23</v>
      </c>
      <c r="D376" t="s">
        <v>108</v>
      </c>
      <c r="E376" s="1">
        <v>45178</v>
      </c>
      <c r="F376" t="s">
        <v>40</v>
      </c>
      <c r="G376" t="s">
        <v>26</v>
      </c>
      <c r="H376">
        <v>7</v>
      </c>
      <c r="I376">
        <v>21201</v>
      </c>
      <c r="J376">
        <v>148407</v>
      </c>
      <c r="K376">
        <v>57854</v>
      </c>
      <c r="L376">
        <v>21996</v>
      </c>
      <c r="M376">
        <v>68557</v>
      </c>
      <c r="N376">
        <v>2</v>
      </c>
      <c r="O376" t="s">
        <v>61</v>
      </c>
      <c r="P376" t="s">
        <v>67</v>
      </c>
      <c r="Q376" s="1">
        <v>45172</v>
      </c>
      <c r="R376" s="1">
        <v>45108</v>
      </c>
      <c r="S376" t="s">
        <v>104</v>
      </c>
      <c r="T376" s="1">
        <v>45170</v>
      </c>
      <c r="U376">
        <v>2023</v>
      </c>
    </row>
    <row r="377" spans="1:21" x14ac:dyDescent="0.3">
      <c r="A377" t="s">
        <v>487</v>
      </c>
      <c r="B377" t="s">
        <v>22</v>
      </c>
      <c r="C377" t="s">
        <v>23</v>
      </c>
      <c r="D377" t="s">
        <v>89</v>
      </c>
      <c r="E377" s="1">
        <v>45109</v>
      </c>
      <c r="F377" t="s">
        <v>25</v>
      </c>
      <c r="G377" t="s">
        <v>81</v>
      </c>
      <c r="H377">
        <v>5</v>
      </c>
      <c r="I377">
        <v>42382</v>
      </c>
      <c r="J377">
        <v>211910</v>
      </c>
      <c r="K377">
        <v>102434</v>
      </c>
      <c r="L377">
        <v>37741</v>
      </c>
      <c r="M377">
        <v>71735</v>
      </c>
      <c r="N377">
        <v>23</v>
      </c>
      <c r="O377" t="s">
        <v>61</v>
      </c>
      <c r="P377" t="s">
        <v>28</v>
      </c>
      <c r="Q377" s="1">
        <v>45109</v>
      </c>
      <c r="R377" s="1">
        <v>45108</v>
      </c>
      <c r="S377" t="s">
        <v>29</v>
      </c>
      <c r="T377" s="1">
        <v>45108</v>
      </c>
      <c r="U377">
        <v>2023</v>
      </c>
    </row>
    <row r="378" spans="1:21" x14ac:dyDescent="0.3">
      <c r="A378" t="s">
        <v>488</v>
      </c>
      <c r="B378" t="s">
        <v>72</v>
      </c>
      <c r="C378" t="s">
        <v>47</v>
      </c>
      <c r="D378" t="s">
        <v>108</v>
      </c>
      <c r="E378" s="1">
        <v>45241</v>
      </c>
      <c r="F378" t="s">
        <v>49</v>
      </c>
      <c r="G378" t="s">
        <v>41</v>
      </c>
      <c r="H378">
        <v>8</v>
      </c>
      <c r="I378">
        <v>65178</v>
      </c>
      <c r="J378">
        <v>521424</v>
      </c>
      <c r="K378">
        <v>157921</v>
      </c>
      <c r="L378">
        <v>77125</v>
      </c>
      <c r="M378">
        <v>286378</v>
      </c>
      <c r="N378">
        <v>46</v>
      </c>
      <c r="O378" t="s">
        <v>61</v>
      </c>
      <c r="P378" t="s">
        <v>67</v>
      </c>
      <c r="Q378" s="1">
        <v>45235</v>
      </c>
      <c r="R378" s="1">
        <v>45200</v>
      </c>
      <c r="S378" t="s">
        <v>138</v>
      </c>
      <c r="T378" s="1">
        <v>45231</v>
      </c>
      <c r="U378">
        <v>2023</v>
      </c>
    </row>
    <row r="379" spans="1:21" x14ac:dyDescent="0.3">
      <c r="A379" t="s">
        <v>489</v>
      </c>
      <c r="B379" t="s">
        <v>22</v>
      </c>
      <c r="C379" t="s">
        <v>23</v>
      </c>
      <c r="D379" t="s">
        <v>119</v>
      </c>
      <c r="E379" s="1">
        <v>45077</v>
      </c>
      <c r="F379" t="s">
        <v>49</v>
      </c>
      <c r="G379" t="s">
        <v>33</v>
      </c>
      <c r="H379">
        <v>8</v>
      </c>
      <c r="I379">
        <v>29633</v>
      </c>
      <c r="J379">
        <v>237064</v>
      </c>
      <c r="K379">
        <v>91020</v>
      </c>
      <c r="L379">
        <v>44013</v>
      </c>
      <c r="M379">
        <v>102031</v>
      </c>
      <c r="N379">
        <v>4</v>
      </c>
      <c r="O379" t="s">
        <v>42</v>
      </c>
      <c r="P379" t="s">
        <v>43</v>
      </c>
      <c r="Q379" s="1">
        <v>45074</v>
      </c>
      <c r="R379" s="1">
        <v>45017</v>
      </c>
      <c r="S379" t="s">
        <v>68</v>
      </c>
      <c r="T379" s="1">
        <v>45047</v>
      </c>
      <c r="U379">
        <v>2023</v>
      </c>
    </row>
    <row r="380" spans="1:21" x14ac:dyDescent="0.3">
      <c r="A380" t="s">
        <v>490</v>
      </c>
      <c r="B380" t="s">
        <v>31</v>
      </c>
      <c r="C380" t="s">
        <v>23</v>
      </c>
      <c r="D380" t="s">
        <v>168</v>
      </c>
      <c r="E380" s="1">
        <v>45022</v>
      </c>
      <c r="F380" t="s">
        <v>40</v>
      </c>
      <c r="G380" t="s">
        <v>64</v>
      </c>
      <c r="H380">
        <v>6</v>
      </c>
      <c r="I380">
        <v>9429</v>
      </c>
      <c r="J380">
        <v>56574</v>
      </c>
      <c r="K380">
        <v>19654</v>
      </c>
      <c r="L380">
        <v>8419</v>
      </c>
      <c r="M380">
        <v>28501</v>
      </c>
      <c r="N380">
        <v>33</v>
      </c>
      <c r="O380" t="s">
        <v>42</v>
      </c>
      <c r="P380" t="s">
        <v>84</v>
      </c>
      <c r="Q380" s="1">
        <v>45018</v>
      </c>
      <c r="R380" s="1">
        <v>45017</v>
      </c>
      <c r="S380" t="s">
        <v>74</v>
      </c>
      <c r="T380" s="1">
        <v>45017</v>
      </c>
      <c r="U380">
        <v>2023</v>
      </c>
    </row>
    <row r="381" spans="1:21" x14ac:dyDescent="0.3">
      <c r="A381" t="s">
        <v>491</v>
      </c>
      <c r="B381" t="s">
        <v>46</v>
      </c>
      <c r="C381" t="s">
        <v>47</v>
      </c>
      <c r="D381" t="s">
        <v>78</v>
      </c>
      <c r="E381" s="1">
        <v>44958</v>
      </c>
      <c r="F381" t="s">
        <v>49</v>
      </c>
      <c r="G381" t="s">
        <v>81</v>
      </c>
      <c r="H381">
        <v>6</v>
      </c>
      <c r="I381">
        <v>13905</v>
      </c>
      <c r="J381">
        <v>83430</v>
      </c>
      <c r="K381">
        <v>35384</v>
      </c>
      <c r="L381">
        <v>14292</v>
      </c>
      <c r="M381">
        <v>33754</v>
      </c>
      <c r="N381">
        <v>43</v>
      </c>
      <c r="O381" t="s">
        <v>34</v>
      </c>
      <c r="P381" t="s">
        <v>43</v>
      </c>
      <c r="Q381" s="1">
        <v>44955</v>
      </c>
      <c r="R381" s="1">
        <v>44927</v>
      </c>
      <c r="S381" t="s">
        <v>85</v>
      </c>
      <c r="T381" s="1">
        <v>44958</v>
      </c>
      <c r="U381">
        <v>2023</v>
      </c>
    </row>
    <row r="382" spans="1:21" x14ac:dyDescent="0.3">
      <c r="A382" t="s">
        <v>492</v>
      </c>
      <c r="B382" t="s">
        <v>22</v>
      </c>
      <c r="C382" t="s">
        <v>23</v>
      </c>
      <c r="D382" t="s">
        <v>125</v>
      </c>
      <c r="E382" s="1">
        <v>45008</v>
      </c>
      <c r="F382" t="s">
        <v>49</v>
      </c>
      <c r="G382" t="s">
        <v>64</v>
      </c>
      <c r="H382">
        <v>3</v>
      </c>
      <c r="I382">
        <v>65438</v>
      </c>
      <c r="J382">
        <v>196314</v>
      </c>
      <c r="K382">
        <v>78923</v>
      </c>
      <c r="L382">
        <v>30458</v>
      </c>
      <c r="M382">
        <v>86933</v>
      </c>
      <c r="N382">
        <v>34</v>
      </c>
      <c r="O382" t="s">
        <v>34</v>
      </c>
      <c r="P382" t="s">
        <v>84</v>
      </c>
      <c r="Q382" s="1">
        <v>45004</v>
      </c>
      <c r="R382" s="1">
        <v>44927</v>
      </c>
      <c r="S382" t="s">
        <v>44</v>
      </c>
      <c r="T382" s="1">
        <v>44986</v>
      </c>
      <c r="U382">
        <v>2023</v>
      </c>
    </row>
    <row r="383" spans="1:21" x14ac:dyDescent="0.3">
      <c r="A383" t="s">
        <v>493</v>
      </c>
      <c r="B383" t="s">
        <v>31</v>
      </c>
      <c r="C383" t="s">
        <v>23</v>
      </c>
      <c r="D383" t="s">
        <v>101</v>
      </c>
      <c r="E383" s="1">
        <v>45006</v>
      </c>
      <c r="F383" t="s">
        <v>25</v>
      </c>
      <c r="G383" t="s">
        <v>26</v>
      </c>
      <c r="H383">
        <v>6</v>
      </c>
      <c r="I383">
        <v>8329</v>
      </c>
      <c r="J383">
        <v>49974</v>
      </c>
      <c r="K383">
        <v>25745</v>
      </c>
      <c r="L383">
        <v>9021</v>
      </c>
      <c r="M383">
        <v>15208</v>
      </c>
      <c r="N383">
        <v>11</v>
      </c>
      <c r="O383" t="s">
        <v>42</v>
      </c>
      <c r="P383" t="s">
        <v>62</v>
      </c>
      <c r="Q383" s="1">
        <v>45004</v>
      </c>
      <c r="R383" s="1">
        <v>44927</v>
      </c>
      <c r="S383" t="s">
        <v>44</v>
      </c>
      <c r="T383" s="1">
        <v>44986</v>
      </c>
      <c r="U383">
        <v>2023</v>
      </c>
    </row>
    <row r="384" spans="1:21" x14ac:dyDescent="0.3">
      <c r="A384" t="s">
        <v>494</v>
      </c>
      <c r="B384" t="s">
        <v>22</v>
      </c>
      <c r="C384" t="s">
        <v>23</v>
      </c>
      <c r="D384" t="s">
        <v>66</v>
      </c>
      <c r="E384" s="1">
        <v>45187</v>
      </c>
      <c r="F384" t="s">
        <v>40</v>
      </c>
      <c r="G384" t="s">
        <v>26</v>
      </c>
      <c r="H384">
        <v>5</v>
      </c>
      <c r="I384">
        <v>40158</v>
      </c>
      <c r="J384">
        <v>200790</v>
      </c>
      <c r="K384">
        <v>96462</v>
      </c>
      <c r="L384">
        <v>22517</v>
      </c>
      <c r="M384">
        <v>81811</v>
      </c>
      <c r="N384">
        <v>48</v>
      </c>
      <c r="O384" t="s">
        <v>27</v>
      </c>
      <c r="P384" t="s">
        <v>51</v>
      </c>
      <c r="Q384" s="1">
        <v>45186</v>
      </c>
      <c r="R384" s="1">
        <v>45108</v>
      </c>
      <c r="S384" t="s">
        <v>104</v>
      </c>
      <c r="T384" s="1">
        <v>45170</v>
      </c>
      <c r="U384">
        <v>2023</v>
      </c>
    </row>
    <row r="385" spans="1:21" x14ac:dyDescent="0.3">
      <c r="A385" t="s">
        <v>495</v>
      </c>
      <c r="B385" t="s">
        <v>46</v>
      </c>
      <c r="C385" t="s">
        <v>47</v>
      </c>
      <c r="D385" t="s">
        <v>152</v>
      </c>
      <c r="E385" s="1">
        <v>45175</v>
      </c>
      <c r="F385" t="s">
        <v>25</v>
      </c>
      <c r="G385" t="s">
        <v>98</v>
      </c>
      <c r="H385">
        <v>10</v>
      </c>
      <c r="I385">
        <v>5691</v>
      </c>
      <c r="J385">
        <v>56910</v>
      </c>
      <c r="K385">
        <v>33097</v>
      </c>
      <c r="L385">
        <v>11037</v>
      </c>
      <c r="M385">
        <v>12776</v>
      </c>
      <c r="N385">
        <v>14</v>
      </c>
      <c r="O385" t="s">
        <v>34</v>
      </c>
      <c r="P385" t="s">
        <v>43</v>
      </c>
      <c r="Q385" s="1">
        <v>45172</v>
      </c>
      <c r="R385" s="1">
        <v>45108</v>
      </c>
      <c r="S385" t="s">
        <v>104</v>
      </c>
      <c r="T385" s="1">
        <v>45170</v>
      </c>
      <c r="U385">
        <v>2023</v>
      </c>
    </row>
    <row r="386" spans="1:21" x14ac:dyDescent="0.3">
      <c r="A386" t="s">
        <v>496</v>
      </c>
      <c r="B386" t="s">
        <v>22</v>
      </c>
      <c r="C386" t="s">
        <v>23</v>
      </c>
      <c r="D386" t="s">
        <v>108</v>
      </c>
      <c r="E386" s="1">
        <v>45000</v>
      </c>
      <c r="F386" t="s">
        <v>40</v>
      </c>
      <c r="G386" t="s">
        <v>98</v>
      </c>
      <c r="H386">
        <v>3</v>
      </c>
      <c r="I386">
        <v>63985</v>
      </c>
      <c r="J386">
        <v>191955</v>
      </c>
      <c r="K386">
        <v>93090</v>
      </c>
      <c r="L386">
        <v>29523</v>
      </c>
      <c r="M386">
        <v>69342</v>
      </c>
      <c r="N386">
        <v>9</v>
      </c>
      <c r="O386" t="s">
        <v>34</v>
      </c>
      <c r="P386" t="s">
        <v>43</v>
      </c>
      <c r="Q386" s="1">
        <v>44997</v>
      </c>
      <c r="R386" s="1">
        <v>44927</v>
      </c>
      <c r="S386" t="s">
        <v>44</v>
      </c>
      <c r="T386" s="1">
        <v>44986</v>
      </c>
      <c r="U386">
        <v>2023</v>
      </c>
    </row>
    <row r="387" spans="1:21" x14ac:dyDescent="0.3">
      <c r="A387" t="s">
        <v>497</v>
      </c>
      <c r="B387" t="s">
        <v>31</v>
      </c>
      <c r="C387" t="s">
        <v>23</v>
      </c>
      <c r="D387" t="s">
        <v>154</v>
      </c>
      <c r="E387" s="1">
        <v>44953</v>
      </c>
      <c r="F387" t="s">
        <v>57</v>
      </c>
      <c r="G387" t="s">
        <v>33</v>
      </c>
      <c r="H387">
        <v>9</v>
      </c>
      <c r="I387">
        <v>14002</v>
      </c>
      <c r="J387">
        <v>126018</v>
      </c>
      <c r="K387">
        <v>55481</v>
      </c>
      <c r="L387">
        <v>13160</v>
      </c>
      <c r="M387">
        <v>57377</v>
      </c>
      <c r="N387">
        <v>32</v>
      </c>
      <c r="O387" t="s">
        <v>27</v>
      </c>
      <c r="P387" t="s">
        <v>99</v>
      </c>
      <c r="Q387" s="1">
        <v>44948</v>
      </c>
      <c r="R387" s="1">
        <v>44927</v>
      </c>
      <c r="S387" t="s">
        <v>95</v>
      </c>
      <c r="T387" s="1">
        <v>44927</v>
      </c>
      <c r="U387">
        <v>2023</v>
      </c>
    </row>
    <row r="388" spans="1:21" x14ac:dyDescent="0.3">
      <c r="A388" t="s">
        <v>498</v>
      </c>
      <c r="B388" t="s">
        <v>37</v>
      </c>
      <c r="C388" t="s">
        <v>38</v>
      </c>
      <c r="D388" t="s">
        <v>39</v>
      </c>
      <c r="E388" s="1">
        <v>45244</v>
      </c>
      <c r="F388" t="s">
        <v>25</v>
      </c>
      <c r="G388" t="s">
        <v>98</v>
      </c>
      <c r="H388">
        <v>4</v>
      </c>
      <c r="I388">
        <v>63368</v>
      </c>
      <c r="J388">
        <v>253472</v>
      </c>
      <c r="K388">
        <v>104234</v>
      </c>
      <c r="L388">
        <v>50679</v>
      </c>
      <c r="M388">
        <v>98559</v>
      </c>
      <c r="N388">
        <v>50</v>
      </c>
      <c r="O388" t="s">
        <v>34</v>
      </c>
      <c r="P388" t="s">
        <v>62</v>
      </c>
      <c r="Q388" s="1">
        <v>45242</v>
      </c>
      <c r="R388" s="1">
        <v>45200</v>
      </c>
      <c r="S388" t="s">
        <v>138</v>
      </c>
      <c r="T388" s="1">
        <v>45231</v>
      </c>
      <c r="U388">
        <v>2023</v>
      </c>
    </row>
    <row r="389" spans="1:21" x14ac:dyDescent="0.3">
      <c r="A389" t="s">
        <v>499</v>
      </c>
      <c r="B389" t="s">
        <v>31</v>
      </c>
      <c r="C389" t="s">
        <v>23</v>
      </c>
      <c r="D389" t="s">
        <v>176</v>
      </c>
      <c r="E389" s="1">
        <v>45223</v>
      </c>
      <c r="F389" t="s">
        <v>49</v>
      </c>
      <c r="G389" t="s">
        <v>64</v>
      </c>
      <c r="H389">
        <v>10</v>
      </c>
      <c r="I389">
        <v>40362</v>
      </c>
      <c r="J389">
        <v>403620</v>
      </c>
      <c r="K389">
        <v>121734</v>
      </c>
      <c r="L389">
        <v>43000</v>
      </c>
      <c r="M389">
        <v>238886</v>
      </c>
      <c r="N389">
        <v>22</v>
      </c>
      <c r="O389" t="s">
        <v>34</v>
      </c>
      <c r="P389" t="s">
        <v>62</v>
      </c>
      <c r="Q389" s="1">
        <v>45221</v>
      </c>
      <c r="R389" s="1">
        <v>45200</v>
      </c>
      <c r="S389" t="s">
        <v>52</v>
      </c>
      <c r="T389" s="1">
        <v>45200</v>
      </c>
      <c r="U389">
        <v>2023</v>
      </c>
    </row>
    <row r="390" spans="1:21" x14ac:dyDescent="0.3">
      <c r="A390" t="s">
        <v>500</v>
      </c>
      <c r="B390" t="s">
        <v>31</v>
      </c>
      <c r="C390" t="s">
        <v>23</v>
      </c>
      <c r="D390" t="s">
        <v>60</v>
      </c>
      <c r="E390" s="1">
        <v>45151</v>
      </c>
      <c r="F390" t="s">
        <v>25</v>
      </c>
      <c r="G390" t="s">
        <v>64</v>
      </c>
      <c r="H390">
        <v>2</v>
      </c>
      <c r="I390">
        <v>60663</v>
      </c>
      <c r="J390">
        <v>121326</v>
      </c>
      <c r="K390">
        <v>71181</v>
      </c>
      <c r="L390">
        <v>14461</v>
      </c>
      <c r="M390">
        <v>35684</v>
      </c>
      <c r="N390">
        <v>23</v>
      </c>
      <c r="O390" t="s">
        <v>42</v>
      </c>
      <c r="P390" t="s">
        <v>28</v>
      </c>
      <c r="Q390" s="1">
        <v>45151</v>
      </c>
      <c r="R390" s="1">
        <v>45108</v>
      </c>
      <c r="S390" t="s">
        <v>92</v>
      </c>
      <c r="T390" s="1">
        <v>45139</v>
      </c>
      <c r="U390">
        <v>2023</v>
      </c>
    </row>
    <row r="391" spans="1:21" x14ac:dyDescent="0.3">
      <c r="A391" t="s">
        <v>501</v>
      </c>
      <c r="B391" t="s">
        <v>22</v>
      </c>
      <c r="C391" t="s">
        <v>23</v>
      </c>
      <c r="D391" t="s">
        <v>133</v>
      </c>
      <c r="E391" s="1">
        <v>44941</v>
      </c>
      <c r="F391" t="s">
        <v>57</v>
      </c>
      <c r="G391" t="s">
        <v>26</v>
      </c>
      <c r="H391">
        <v>8</v>
      </c>
      <c r="I391">
        <v>8346</v>
      </c>
      <c r="J391">
        <v>66768</v>
      </c>
      <c r="K391">
        <v>37382</v>
      </c>
      <c r="L391">
        <v>9361</v>
      </c>
      <c r="M391">
        <v>20025</v>
      </c>
      <c r="N391">
        <v>10</v>
      </c>
      <c r="O391" t="s">
        <v>34</v>
      </c>
      <c r="P391" t="s">
        <v>28</v>
      </c>
      <c r="Q391" s="1">
        <v>44941</v>
      </c>
      <c r="R391" s="1">
        <v>44927</v>
      </c>
      <c r="S391" t="s">
        <v>95</v>
      </c>
      <c r="T391" s="1">
        <v>44927</v>
      </c>
      <c r="U391">
        <v>2023</v>
      </c>
    </row>
    <row r="392" spans="1:21" x14ac:dyDescent="0.3">
      <c r="A392" t="s">
        <v>502</v>
      </c>
      <c r="B392" t="s">
        <v>31</v>
      </c>
      <c r="C392" t="s">
        <v>23</v>
      </c>
      <c r="D392" t="s">
        <v>73</v>
      </c>
      <c r="E392" s="1">
        <v>45207</v>
      </c>
      <c r="F392" t="s">
        <v>49</v>
      </c>
      <c r="G392" t="s">
        <v>26</v>
      </c>
      <c r="H392">
        <v>9</v>
      </c>
      <c r="I392">
        <v>18363</v>
      </c>
      <c r="J392">
        <v>165267</v>
      </c>
      <c r="K392">
        <v>69292</v>
      </c>
      <c r="L392">
        <v>30130</v>
      </c>
      <c r="M392">
        <v>65845</v>
      </c>
      <c r="N392">
        <v>38</v>
      </c>
      <c r="O392" t="s">
        <v>42</v>
      </c>
      <c r="P392" t="s">
        <v>28</v>
      </c>
      <c r="Q392" s="1">
        <v>45207</v>
      </c>
      <c r="R392" s="1">
        <v>45200</v>
      </c>
      <c r="S392" t="s">
        <v>52</v>
      </c>
      <c r="T392" s="1">
        <v>45200</v>
      </c>
      <c r="U392">
        <v>2023</v>
      </c>
    </row>
    <row r="393" spans="1:21" x14ac:dyDescent="0.3">
      <c r="A393" t="s">
        <v>503</v>
      </c>
      <c r="B393" t="s">
        <v>31</v>
      </c>
      <c r="C393" t="s">
        <v>23</v>
      </c>
      <c r="D393" t="s">
        <v>190</v>
      </c>
      <c r="E393" s="1">
        <v>45065</v>
      </c>
      <c r="F393" t="s">
        <v>25</v>
      </c>
      <c r="G393" t="s">
        <v>58</v>
      </c>
      <c r="H393">
        <v>3</v>
      </c>
      <c r="I393">
        <v>11303</v>
      </c>
      <c r="J393">
        <v>33909</v>
      </c>
      <c r="K393">
        <v>16656</v>
      </c>
      <c r="L393">
        <v>5751</v>
      </c>
      <c r="M393">
        <v>11502</v>
      </c>
      <c r="N393">
        <v>23</v>
      </c>
      <c r="O393" t="s">
        <v>50</v>
      </c>
      <c r="P393" t="s">
        <v>99</v>
      </c>
      <c r="Q393" s="1">
        <v>45060</v>
      </c>
      <c r="R393" s="1">
        <v>45017</v>
      </c>
      <c r="S393" t="s">
        <v>68</v>
      </c>
      <c r="T393" s="1">
        <v>45047</v>
      </c>
      <c r="U393">
        <v>2023</v>
      </c>
    </row>
    <row r="394" spans="1:21" x14ac:dyDescent="0.3">
      <c r="A394" t="s">
        <v>504</v>
      </c>
      <c r="B394" t="s">
        <v>72</v>
      </c>
      <c r="C394" t="s">
        <v>47</v>
      </c>
      <c r="D394" t="s">
        <v>221</v>
      </c>
      <c r="E394" s="1">
        <v>45008</v>
      </c>
      <c r="F394" t="s">
        <v>25</v>
      </c>
      <c r="G394" t="s">
        <v>26</v>
      </c>
      <c r="H394">
        <v>7</v>
      </c>
      <c r="I394">
        <v>48433</v>
      </c>
      <c r="J394">
        <v>339031</v>
      </c>
      <c r="K394">
        <v>180786</v>
      </c>
      <c r="L394">
        <v>50628</v>
      </c>
      <c r="M394">
        <v>107617</v>
      </c>
      <c r="N394">
        <v>14</v>
      </c>
      <c r="O394" t="s">
        <v>61</v>
      </c>
      <c r="P394" t="s">
        <v>84</v>
      </c>
      <c r="Q394" s="1">
        <v>45004</v>
      </c>
      <c r="R394" s="1">
        <v>44927</v>
      </c>
      <c r="S394" t="s">
        <v>44</v>
      </c>
      <c r="T394" s="1">
        <v>44986</v>
      </c>
      <c r="U394">
        <v>2023</v>
      </c>
    </row>
    <row r="395" spans="1:21" x14ac:dyDescent="0.3">
      <c r="A395" t="s">
        <v>505</v>
      </c>
      <c r="B395" t="s">
        <v>46</v>
      </c>
      <c r="C395" t="s">
        <v>47</v>
      </c>
      <c r="D395" t="s">
        <v>135</v>
      </c>
      <c r="E395" s="1">
        <v>45206</v>
      </c>
      <c r="F395" t="s">
        <v>40</v>
      </c>
      <c r="G395" t="s">
        <v>33</v>
      </c>
      <c r="H395">
        <v>10</v>
      </c>
      <c r="I395">
        <v>58782</v>
      </c>
      <c r="J395">
        <v>587820</v>
      </c>
      <c r="K395">
        <v>325370</v>
      </c>
      <c r="L395">
        <v>103736</v>
      </c>
      <c r="M395">
        <v>158714</v>
      </c>
      <c r="N395">
        <v>5</v>
      </c>
      <c r="O395" t="s">
        <v>61</v>
      </c>
      <c r="P395" t="s">
        <v>67</v>
      </c>
      <c r="Q395" s="1">
        <v>45200</v>
      </c>
      <c r="R395" s="1">
        <v>45200</v>
      </c>
      <c r="S395" t="s">
        <v>52</v>
      </c>
      <c r="T395" s="1">
        <v>45200</v>
      </c>
      <c r="U395">
        <v>2023</v>
      </c>
    </row>
    <row r="396" spans="1:21" x14ac:dyDescent="0.3">
      <c r="A396" t="s">
        <v>506</v>
      </c>
      <c r="B396" t="s">
        <v>37</v>
      </c>
      <c r="C396" t="s">
        <v>38</v>
      </c>
      <c r="D396" t="s">
        <v>32</v>
      </c>
      <c r="E396" s="1">
        <v>44947</v>
      </c>
      <c r="F396" t="s">
        <v>25</v>
      </c>
      <c r="G396" t="s">
        <v>33</v>
      </c>
      <c r="H396">
        <v>3</v>
      </c>
      <c r="I396">
        <v>47903</v>
      </c>
      <c r="J396">
        <v>143709</v>
      </c>
      <c r="K396">
        <v>53047</v>
      </c>
      <c r="L396">
        <v>17144</v>
      </c>
      <c r="M396">
        <v>73518</v>
      </c>
      <c r="N396">
        <v>44</v>
      </c>
      <c r="O396" t="s">
        <v>50</v>
      </c>
      <c r="P396" t="s">
        <v>67</v>
      </c>
      <c r="Q396" s="1">
        <v>44941</v>
      </c>
      <c r="R396" s="1">
        <v>44927</v>
      </c>
      <c r="S396" t="s">
        <v>95</v>
      </c>
      <c r="T396" s="1">
        <v>44927</v>
      </c>
      <c r="U396">
        <v>2023</v>
      </c>
    </row>
    <row r="397" spans="1:21" x14ac:dyDescent="0.3">
      <c r="A397" t="s">
        <v>507</v>
      </c>
      <c r="B397" t="s">
        <v>31</v>
      </c>
      <c r="C397" t="s">
        <v>23</v>
      </c>
      <c r="D397" t="s">
        <v>73</v>
      </c>
      <c r="E397" s="1">
        <v>45065</v>
      </c>
      <c r="F397" t="s">
        <v>49</v>
      </c>
      <c r="G397" t="s">
        <v>26</v>
      </c>
      <c r="H397">
        <v>4</v>
      </c>
      <c r="I397">
        <v>18673</v>
      </c>
      <c r="J397">
        <v>74692</v>
      </c>
      <c r="K397">
        <v>43864</v>
      </c>
      <c r="L397">
        <v>10767</v>
      </c>
      <c r="M397">
        <v>20061</v>
      </c>
      <c r="N397">
        <v>17</v>
      </c>
      <c r="O397" t="s">
        <v>27</v>
      </c>
      <c r="P397" t="s">
        <v>99</v>
      </c>
      <c r="Q397" s="1">
        <v>45060</v>
      </c>
      <c r="R397" s="1">
        <v>45017</v>
      </c>
      <c r="S397" t="s">
        <v>68</v>
      </c>
      <c r="T397" s="1">
        <v>45047</v>
      </c>
      <c r="U397">
        <v>2023</v>
      </c>
    </row>
    <row r="398" spans="1:21" x14ac:dyDescent="0.3">
      <c r="A398" t="s">
        <v>508</v>
      </c>
      <c r="B398" t="s">
        <v>31</v>
      </c>
      <c r="C398" t="s">
        <v>23</v>
      </c>
      <c r="D398" t="s">
        <v>128</v>
      </c>
      <c r="E398" s="1">
        <v>45238</v>
      </c>
      <c r="F398" t="s">
        <v>25</v>
      </c>
      <c r="G398" t="s">
        <v>64</v>
      </c>
      <c r="H398">
        <v>3</v>
      </c>
      <c r="I398">
        <v>10389</v>
      </c>
      <c r="J398">
        <v>31167</v>
      </c>
      <c r="K398">
        <v>10625</v>
      </c>
      <c r="L398">
        <v>4971</v>
      </c>
      <c r="M398">
        <v>15571</v>
      </c>
      <c r="N398">
        <v>37</v>
      </c>
      <c r="O398" t="s">
        <v>61</v>
      </c>
      <c r="P398" t="s">
        <v>43</v>
      </c>
      <c r="Q398" s="1">
        <v>45235</v>
      </c>
      <c r="R398" s="1">
        <v>45200</v>
      </c>
      <c r="S398" t="s">
        <v>138</v>
      </c>
      <c r="T398" s="1">
        <v>45231</v>
      </c>
      <c r="U398">
        <v>2023</v>
      </c>
    </row>
    <row r="399" spans="1:21" x14ac:dyDescent="0.3">
      <c r="A399" t="s">
        <v>509</v>
      </c>
      <c r="B399" t="s">
        <v>72</v>
      </c>
      <c r="C399" t="s">
        <v>47</v>
      </c>
      <c r="D399" t="s">
        <v>163</v>
      </c>
      <c r="E399" s="1">
        <v>45131</v>
      </c>
      <c r="F399" t="s">
        <v>25</v>
      </c>
      <c r="G399" t="s">
        <v>26</v>
      </c>
      <c r="H399">
        <v>10</v>
      </c>
      <c r="I399">
        <v>14897</v>
      </c>
      <c r="J399">
        <v>148970</v>
      </c>
      <c r="K399">
        <v>57170</v>
      </c>
      <c r="L399">
        <v>26195</v>
      </c>
      <c r="M399">
        <v>65605</v>
      </c>
      <c r="N399">
        <v>44</v>
      </c>
      <c r="O399" t="s">
        <v>27</v>
      </c>
      <c r="P399" t="s">
        <v>51</v>
      </c>
      <c r="Q399" s="1">
        <v>45130</v>
      </c>
      <c r="R399" s="1">
        <v>45108</v>
      </c>
      <c r="S399" t="s">
        <v>29</v>
      </c>
      <c r="T399" s="1">
        <v>45108</v>
      </c>
      <c r="U399">
        <v>2023</v>
      </c>
    </row>
    <row r="400" spans="1:21" x14ac:dyDescent="0.3">
      <c r="A400" t="s">
        <v>510</v>
      </c>
      <c r="B400" t="s">
        <v>72</v>
      </c>
      <c r="C400" t="s">
        <v>47</v>
      </c>
      <c r="D400" t="s">
        <v>209</v>
      </c>
      <c r="E400" s="1">
        <v>45020</v>
      </c>
      <c r="F400" t="s">
        <v>57</v>
      </c>
      <c r="G400" t="s">
        <v>41</v>
      </c>
      <c r="H400">
        <v>1</v>
      </c>
      <c r="I400">
        <v>7734</v>
      </c>
      <c r="J400">
        <v>7734</v>
      </c>
      <c r="K400">
        <v>2923</v>
      </c>
      <c r="L400">
        <v>1446</v>
      </c>
      <c r="M400">
        <v>3365</v>
      </c>
      <c r="N400">
        <v>37</v>
      </c>
      <c r="O400" t="s">
        <v>61</v>
      </c>
      <c r="P400" t="s">
        <v>62</v>
      </c>
      <c r="Q400" s="1">
        <v>45018</v>
      </c>
      <c r="R400" s="1">
        <v>45017</v>
      </c>
      <c r="S400" t="s">
        <v>74</v>
      </c>
      <c r="T400" s="1">
        <v>45017</v>
      </c>
      <c r="U400">
        <v>2023</v>
      </c>
    </row>
    <row r="401" spans="1:21" x14ac:dyDescent="0.3">
      <c r="A401" t="s">
        <v>511</v>
      </c>
      <c r="B401" t="s">
        <v>22</v>
      </c>
      <c r="C401" t="s">
        <v>23</v>
      </c>
      <c r="D401" t="s">
        <v>209</v>
      </c>
      <c r="E401" s="1">
        <v>45180</v>
      </c>
      <c r="F401" t="s">
        <v>49</v>
      </c>
      <c r="G401" t="s">
        <v>98</v>
      </c>
      <c r="H401">
        <v>2</v>
      </c>
      <c r="I401">
        <v>36786</v>
      </c>
      <c r="J401">
        <v>73572</v>
      </c>
      <c r="K401">
        <v>30941</v>
      </c>
      <c r="L401">
        <v>7466</v>
      </c>
      <c r="M401">
        <v>35165</v>
      </c>
      <c r="N401">
        <v>7</v>
      </c>
      <c r="O401" t="s">
        <v>27</v>
      </c>
      <c r="P401" t="s">
        <v>51</v>
      </c>
      <c r="Q401" s="1">
        <v>45179</v>
      </c>
      <c r="R401" s="1">
        <v>45108</v>
      </c>
      <c r="S401" t="s">
        <v>104</v>
      </c>
      <c r="T401" s="1">
        <v>45170</v>
      </c>
      <c r="U401">
        <v>2023</v>
      </c>
    </row>
    <row r="402" spans="1:21" x14ac:dyDescent="0.3">
      <c r="A402" t="s">
        <v>512</v>
      </c>
      <c r="B402" t="s">
        <v>46</v>
      </c>
      <c r="C402" t="s">
        <v>47</v>
      </c>
      <c r="D402" t="s">
        <v>60</v>
      </c>
      <c r="E402" s="1">
        <v>45002</v>
      </c>
      <c r="F402" t="s">
        <v>49</v>
      </c>
      <c r="G402" t="s">
        <v>26</v>
      </c>
      <c r="H402">
        <v>5</v>
      </c>
      <c r="I402">
        <v>32741</v>
      </c>
      <c r="J402">
        <v>163705</v>
      </c>
      <c r="K402">
        <v>72226</v>
      </c>
      <c r="L402">
        <v>23125</v>
      </c>
      <c r="M402">
        <v>68354</v>
      </c>
      <c r="N402">
        <v>47</v>
      </c>
      <c r="O402" t="s">
        <v>61</v>
      </c>
      <c r="P402" t="s">
        <v>99</v>
      </c>
      <c r="Q402" s="1">
        <v>44997</v>
      </c>
      <c r="R402" s="1">
        <v>44927</v>
      </c>
      <c r="S402" t="s">
        <v>44</v>
      </c>
      <c r="T402" s="1">
        <v>44986</v>
      </c>
      <c r="U402">
        <v>2023</v>
      </c>
    </row>
    <row r="403" spans="1:21" x14ac:dyDescent="0.3">
      <c r="A403" t="s">
        <v>513</v>
      </c>
      <c r="B403" t="s">
        <v>22</v>
      </c>
      <c r="C403" t="s">
        <v>23</v>
      </c>
      <c r="D403" t="s">
        <v>205</v>
      </c>
      <c r="E403" s="1">
        <v>45035</v>
      </c>
      <c r="F403" t="s">
        <v>40</v>
      </c>
      <c r="G403" t="s">
        <v>98</v>
      </c>
      <c r="H403">
        <v>10</v>
      </c>
      <c r="I403">
        <v>11099</v>
      </c>
      <c r="J403">
        <v>110990</v>
      </c>
      <c r="K403">
        <v>63842</v>
      </c>
      <c r="L403">
        <v>20491</v>
      </c>
      <c r="M403">
        <v>26657</v>
      </c>
      <c r="N403">
        <v>6</v>
      </c>
      <c r="O403" t="s">
        <v>27</v>
      </c>
      <c r="P403" t="s">
        <v>43</v>
      </c>
      <c r="Q403" s="1">
        <v>45032</v>
      </c>
      <c r="R403" s="1">
        <v>45017</v>
      </c>
      <c r="S403" t="s">
        <v>74</v>
      </c>
      <c r="T403" s="1">
        <v>45017</v>
      </c>
      <c r="U403">
        <v>2023</v>
      </c>
    </row>
    <row r="404" spans="1:21" x14ac:dyDescent="0.3">
      <c r="A404" t="s">
        <v>514</v>
      </c>
      <c r="B404" t="s">
        <v>37</v>
      </c>
      <c r="C404" t="s">
        <v>38</v>
      </c>
      <c r="D404" t="s">
        <v>163</v>
      </c>
      <c r="E404" s="1">
        <v>45185</v>
      </c>
      <c r="F404" t="s">
        <v>40</v>
      </c>
      <c r="G404" t="s">
        <v>81</v>
      </c>
      <c r="H404">
        <v>9</v>
      </c>
      <c r="I404">
        <v>67327</v>
      </c>
      <c r="J404">
        <v>605943</v>
      </c>
      <c r="K404">
        <v>231047</v>
      </c>
      <c r="L404">
        <v>103727</v>
      </c>
      <c r="M404">
        <v>271169</v>
      </c>
      <c r="N404">
        <v>33</v>
      </c>
      <c r="O404" t="s">
        <v>42</v>
      </c>
      <c r="P404" t="s">
        <v>67</v>
      </c>
      <c r="Q404" s="1">
        <v>45179</v>
      </c>
      <c r="R404" s="1">
        <v>45108</v>
      </c>
      <c r="S404" t="s">
        <v>104</v>
      </c>
      <c r="T404" s="1">
        <v>45170</v>
      </c>
      <c r="U404">
        <v>2023</v>
      </c>
    </row>
    <row r="405" spans="1:21" x14ac:dyDescent="0.3">
      <c r="A405" t="s">
        <v>515</v>
      </c>
      <c r="B405" t="s">
        <v>31</v>
      </c>
      <c r="C405" t="s">
        <v>23</v>
      </c>
      <c r="D405" t="s">
        <v>101</v>
      </c>
      <c r="E405" s="1">
        <v>45084</v>
      </c>
      <c r="F405" t="s">
        <v>49</v>
      </c>
      <c r="G405" t="s">
        <v>33</v>
      </c>
      <c r="H405">
        <v>6</v>
      </c>
      <c r="I405">
        <v>69551</v>
      </c>
      <c r="J405">
        <v>417306</v>
      </c>
      <c r="K405">
        <v>201099</v>
      </c>
      <c r="L405">
        <v>51016</v>
      </c>
      <c r="M405">
        <v>165191</v>
      </c>
      <c r="N405">
        <v>39</v>
      </c>
      <c r="O405" t="s">
        <v>34</v>
      </c>
      <c r="P405" t="s">
        <v>43</v>
      </c>
      <c r="Q405" s="1">
        <v>45081</v>
      </c>
      <c r="R405" s="1">
        <v>45017</v>
      </c>
      <c r="S405" t="s">
        <v>35</v>
      </c>
      <c r="T405" s="1">
        <v>45078</v>
      </c>
      <c r="U405">
        <v>2023</v>
      </c>
    </row>
    <row r="406" spans="1:21" x14ac:dyDescent="0.3">
      <c r="A406" t="s">
        <v>516</v>
      </c>
      <c r="B406" t="s">
        <v>37</v>
      </c>
      <c r="C406" t="s">
        <v>38</v>
      </c>
      <c r="D406" t="s">
        <v>117</v>
      </c>
      <c r="E406" s="1">
        <v>45193</v>
      </c>
      <c r="F406" t="s">
        <v>40</v>
      </c>
      <c r="G406" t="s">
        <v>98</v>
      </c>
      <c r="H406">
        <v>5</v>
      </c>
      <c r="I406">
        <v>4602</v>
      </c>
      <c r="J406">
        <v>23010</v>
      </c>
      <c r="K406">
        <v>10532</v>
      </c>
      <c r="L406">
        <v>3663</v>
      </c>
      <c r="M406">
        <v>8815</v>
      </c>
      <c r="N406">
        <v>9</v>
      </c>
      <c r="O406" t="s">
        <v>61</v>
      </c>
      <c r="P406" t="s">
        <v>28</v>
      </c>
      <c r="Q406" s="1">
        <v>45193</v>
      </c>
      <c r="R406" s="1">
        <v>45108</v>
      </c>
      <c r="S406" t="s">
        <v>104</v>
      </c>
      <c r="T406" s="1">
        <v>45170</v>
      </c>
      <c r="U406">
        <v>2023</v>
      </c>
    </row>
    <row r="407" spans="1:21" x14ac:dyDescent="0.3">
      <c r="A407" t="s">
        <v>517</v>
      </c>
      <c r="B407" t="s">
        <v>72</v>
      </c>
      <c r="C407" t="s">
        <v>47</v>
      </c>
      <c r="D407" t="s">
        <v>39</v>
      </c>
      <c r="E407" s="1">
        <v>45098</v>
      </c>
      <c r="F407" t="s">
        <v>25</v>
      </c>
      <c r="G407" t="s">
        <v>26</v>
      </c>
      <c r="H407">
        <v>2</v>
      </c>
      <c r="I407">
        <v>66580</v>
      </c>
      <c r="J407">
        <v>133160</v>
      </c>
      <c r="K407">
        <v>67372</v>
      </c>
      <c r="L407">
        <v>20198</v>
      </c>
      <c r="M407">
        <v>45590</v>
      </c>
      <c r="N407">
        <v>12</v>
      </c>
      <c r="O407" t="s">
        <v>50</v>
      </c>
      <c r="P407" t="s">
        <v>43</v>
      </c>
      <c r="Q407" s="1">
        <v>45095</v>
      </c>
      <c r="R407" s="1">
        <v>45017</v>
      </c>
      <c r="S407" t="s">
        <v>35</v>
      </c>
      <c r="T407" s="1">
        <v>45078</v>
      </c>
      <c r="U407">
        <v>2023</v>
      </c>
    </row>
    <row r="408" spans="1:21" x14ac:dyDescent="0.3">
      <c r="A408" t="s">
        <v>518</v>
      </c>
      <c r="B408" t="s">
        <v>37</v>
      </c>
      <c r="C408" t="s">
        <v>38</v>
      </c>
      <c r="D408" t="s">
        <v>145</v>
      </c>
      <c r="E408" s="1">
        <v>45196</v>
      </c>
      <c r="F408" t="s">
        <v>40</v>
      </c>
      <c r="G408" t="s">
        <v>58</v>
      </c>
      <c r="H408">
        <v>10</v>
      </c>
      <c r="I408">
        <v>58230</v>
      </c>
      <c r="J408">
        <v>582300</v>
      </c>
      <c r="K408">
        <v>228692</v>
      </c>
      <c r="L408">
        <v>74049</v>
      </c>
      <c r="M408">
        <v>279559</v>
      </c>
      <c r="N408">
        <v>30</v>
      </c>
      <c r="O408" t="s">
        <v>50</v>
      </c>
      <c r="P408" t="s">
        <v>43</v>
      </c>
      <c r="Q408" s="1">
        <v>45193</v>
      </c>
      <c r="R408" s="1">
        <v>45108</v>
      </c>
      <c r="S408" t="s">
        <v>104</v>
      </c>
      <c r="T408" s="1">
        <v>45170</v>
      </c>
      <c r="U408">
        <v>2023</v>
      </c>
    </row>
    <row r="409" spans="1:21" x14ac:dyDescent="0.3">
      <c r="A409" t="s">
        <v>519</v>
      </c>
      <c r="B409" t="s">
        <v>72</v>
      </c>
      <c r="C409" t="s">
        <v>47</v>
      </c>
      <c r="D409" t="s">
        <v>152</v>
      </c>
      <c r="E409" s="1">
        <v>45202</v>
      </c>
      <c r="F409" t="s">
        <v>57</v>
      </c>
      <c r="G409" t="s">
        <v>41</v>
      </c>
      <c r="H409">
        <v>6</v>
      </c>
      <c r="I409">
        <v>34908</v>
      </c>
      <c r="J409">
        <v>209448</v>
      </c>
      <c r="K409">
        <v>105995</v>
      </c>
      <c r="L409">
        <v>22827</v>
      </c>
      <c r="M409">
        <v>80626</v>
      </c>
      <c r="N409">
        <v>49</v>
      </c>
      <c r="O409" t="s">
        <v>34</v>
      </c>
      <c r="P409" t="s">
        <v>62</v>
      </c>
      <c r="Q409" s="1">
        <v>45200</v>
      </c>
      <c r="R409" s="1">
        <v>45200</v>
      </c>
      <c r="S409" t="s">
        <v>52</v>
      </c>
      <c r="T409" s="1">
        <v>45200</v>
      </c>
      <c r="U409">
        <v>2023</v>
      </c>
    </row>
    <row r="410" spans="1:21" x14ac:dyDescent="0.3">
      <c r="A410" t="s">
        <v>520</v>
      </c>
      <c r="B410" t="s">
        <v>31</v>
      </c>
      <c r="C410" t="s">
        <v>23</v>
      </c>
      <c r="D410" t="s">
        <v>133</v>
      </c>
      <c r="E410" s="1">
        <v>45196</v>
      </c>
      <c r="F410" t="s">
        <v>25</v>
      </c>
      <c r="G410" t="s">
        <v>26</v>
      </c>
      <c r="H410">
        <v>8</v>
      </c>
      <c r="I410">
        <v>26729</v>
      </c>
      <c r="J410">
        <v>213832</v>
      </c>
      <c r="K410">
        <v>71877</v>
      </c>
      <c r="L410">
        <v>29695</v>
      </c>
      <c r="M410">
        <v>112260</v>
      </c>
      <c r="N410">
        <v>44</v>
      </c>
      <c r="O410" t="s">
        <v>27</v>
      </c>
      <c r="P410" t="s">
        <v>43</v>
      </c>
      <c r="Q410" s="1">
        <v>45193</v>
      </c>
      <c r="R410" s="1">
        <v>45108</v>
      </c>
      <c r="S410" t="s">
        <v>104</v>
      </c>
      <c r="T410" s="1">
        <v>45170</v>
      </c>
      <c r="U410">
        <v>2023</v>
      </c>
    </row>
    <row r="411" spans="1:21" x14ac:dyDescent="0.3">
      <c r="A411" t="s">
        <v>521</v>
      </c>
      <c r="B411" t="s">
        <v>22</v>
      </c>
      <c r="C411" t="s">
        <v>23</v>
      </c>
      <c r="D411" t="s">
        <v>142</v>
      </c>
      <c r="E411" s="1">
        <v>45240</v>
      </c>
      <c r="F411" t="s">
        <v>40</v>
      </c>
      <c r="G411" t="s">
        <v>26</v>
      </c>
      <c r="H411">
        <v>10</v>
      </c>
      <c r="I411">
        <v>28092</v>
      </c>
      <c r="J411">
        <v>280920</v>
      </c>
      <c r="K411">
        <v>108409</v>
      </c>
      <c r="L411">
        <v>32746</v>
      </c>
      <c r="M411">
        <v>139765</v>
      </c>
      <c r="N411">
        <v>5</v>
      </c>
      <c r="O411" t="s">
        <v>50</v>
      </c>
      <c r="P411" t="s">
        <v>99</v>
      </c>
      <c r="Q411" s="1">
        <v>45235</v>
      </c>
      <c r="R411" s="1">
        <v>45200</v>
      </c>
      <c r="S411" t="s">
        <v>138</v>
      </c>
      <c r="T411" s="1">
        <v>45231</v>
      </c>
      <c r="U411">
        <v>2023</v>
      </c>
    </row>
    <row r="412" spans="1:21" x14ac:dyDescent="0.3">
      <c r="A412" t="s">
        <v>522</v>
      </c>
      <c r="B412" t="s">
        <v>46</v>
      </c>
      <c r="C412" t="s">
        <v>47</v>
      </c>
      <c r="D412" t="s">
        <v>301</v>
      </c>
      <c r="E412" s="1">
        <v>44927</v>
      </c>
      <c r="F412" t="s">
        <v>25</v>
      </c>
      <c r="G412" t="s">
        <v>64</v>
      </c>
      <c r="H412">
        <v>3</v>
      </c>
      <c r="I412">
        <v>51424</v>
      </c>
      <c r="J412">
        <v>154272</v>
      </c>
      <c r="K412">
        <v>54434</v>
      </c>
      <c r="L412">
        <v>25654</v>
      </c>
      <c r="M412">
        <v>74184</v>
      </c>
      <c r="N412">
        <v>18</v>
      </c>
      <c r="O412" t="s">
        <v>34</v>
      </c>
      <c r="P412" t="s">
        <v>28</v>
      </c>
      <c r="Q412" s="1">
        <v>44927</v>
      </c>
      <c r="R412" s="1">
        <v>44927</v>
      </c>
      <c r="S412" t="s">
        <v>95</v>
      </c>
      <c r="T412" s="1">
        <v>44927</v>
      </c>
      <c r="U412">
        <v>2023</v>
      </c>
    </row>
    <row r="413" spans="1:21" x14ac:dyDescent="0.3">
      <c r="A413" t="s">
        <v>523</v>
      </c>
      <c r="B413" t="s">
        <v>37</v>
      </c>
      <c r="C413" t="s">
        <v>38</v>
      </c>
      <c r="D413" t="s">
        <v>145</v>
      </c>
      <c r="E413" s="1">
        <v>45217</v>
      </c>
      <c r="F413" t="s">
        <v>25</v>
      </c>
      <c r="G413" t="s">
        <v>33</v>
      </c>
      <c r="H413">
        <v>6</v>
      </c>
      <c r="I413">
        <v>36701</v>
      </c>
      <c r="J413">
        <v>220206</v>
      </c>
      <c r="K413">
        <v>108387</v>
      </c>
      <c r="L413">
        <v>37194</v>
      </c>
      <c r="M413">
        <v>74625</v>
      </c>
      <c r="N413">
        <v>7</v>
      </c>
      <c r="O413" t="s">
        <v>61</v>
      </c>
      <c r="P413" t="s">
        <v>43</v>
      </c>
      <c r="Q413" s="1">
        <v>45214</v>
      </c>
      <c r="R413" s="1">
        <v>45200</v>
      </c>
      <c r="S413" t="s">
        <v>52</v>
      </c>
      <c r="T413" s="1">
        <v>45200</v>
      </c>
      <c r="U413">
        <v>2023</v>
      </c>
    </row>
    <row r="414" spans="1:21" x14ac:dyDescent="0.3">
      <c r="A414" t="s">
        <v>524</v>
      </c>
      <c r="B414" t="s">
        <v>37</v>
      </c>
      <c r="C414" t="s">
        <v>38</v>
      </c>
      <c r="D414" t="s">
        <v>221</v>
      </c>
      <c r="E414" s="1">
        <v>44985</v>
      </c>
      <c r="F414" t="s">
        <v>49</v>
      </c>
      <c r="G414" t="s">
        <v>81</v>
      </c>
      <c r="H414">
        <v>7</v>
      </c>
      <c r="I414">
        <v>21233</v>
      </c>
      <c r="J414">
        <v>148631</v>
      </c>
      <c r="K414">
        <v>60371</v>
      </c>
      <c r="L414">
        <v>18044</v>
      </c>
      <c r="M414">
        <v>70216</v>
      </c>
      <c r="N414">
        <v>35</v>
      </c>
      <c r="O414" t="s">
        <v>27</v>
      </c>
      <c r="P414" t="s">
        <v>62</v>
      </c>
      <c r="Q414" s="1">
        <v>44983</v>
      </c>
      <c r="R414" s="1">
        <v>44927</v>
      </c>
      <c r="S414" t="s">
        <v>85</v>
      </c>
      <c r="T414" s="1">
        <v>44958</v>
      </c>
      <c r="U414">
        <v>2023</v>
      </c>
    </row>
    <row r="415" spans="1:21" x14ac:dyDescent="0.3">
      <c r="A415" t="s">
        <v>525</v>
      </c>
      <c r="B415" t="s">
        <v>37</v>
      </c>
      <c r="C415" t="s">
        <v>38</v>
      </c>
      <c r="D415" t="s">
        <v>70</v>
      </c>
      <c r="E415" s="1">
        <v>45234</v>
      </c>
      <c r="F415" t="s">
        <v>25</v>
      </c>
      <c r="G415" t="s">
        <v>98</v>
      </c>
      <c r="H415">
        <v>6</v>
      </c>
      <c r="I415">
        <v>30656</v>
      </c>
      <c r="J415">
        <v>183936</v>
      </c>
      <c r="K415">
        <v>66796</v>
      </c>
      <c r="L415">
        <v>20501</v>
      </c>
      <c r="M415">
        <v>96639</v>
      </c>
      <c r="N415">
        <v>2</v>
      </c>
      <c r="O415" t="s">
        <v>34</v>
      </c>
      <c r="P415" t="s">
        <v>67</v>
      </c>
      <c r="Q415" s="1">
        <v>45228</v>
      </c>
      <c r="R415" s="1">
        <v>45200</v>
      </c>
      <c r="S415" t="s">
        <v>138</v>
      </c>
      <c r="T415" s="1">
        <v>45231</v>
      </c>
      <c r="U415">
        <v>2023</v>
      </c>
    </row>
    <row r="416" spans="1:21" x14ac:dyDescent="0.3">
      <c r="A416" t="s">
        <v>526</v>
      </c>
      <c r="B416" t="s">
        <v>31</v>
      </c>
      <c r="C416" t="s">
        <v>23</v>
      </c>
      <c r="D416" t="s">
        <v>168</v>
      </c>
      <c r="E416" s="1">
        <v>44936</v>
      </c>
      <c r="F416" t="s">
        <v>57</v>
      </c>
      <c r="G416" t="s">
        <v>41</v>
      </c>
      <c r="H416">
        <v>10</v>
      </c>
      <c r="I416">
        <v>33859</v>
      </c>
      <c r="J416">
        <v>338590</v>
      </c>
      <c r="K416">
        <v>177133</v>
      </c>
      <c r="L416">
        <v>36475</v>
      </c>
      <c r="M416">
        <v>124982</v>
      </c>
      <c r="N416">
        <v>44</v>
      </c>
      <c r="O416" t="s">
        <v>50</v>
      </c>
      <c r="P416" t="s">
        <v>62</v>
      </c>
      <c r="Q416" s="1">
        <v>44934</v>
      </c>
      <c r="R416" s="1">
        <v>44927</v>
      </c>
      <c r="S416" t="s">
        <v>95</v>
      </c>
      <c r="T416" s="1">
        <v>44927</v>
      </c>
      <c r="U416">
        <v>2023</v>
      </c>
    </row>
    <row r="417" spans="1:21" x14ac:dyDescent="0.3">
      <c r="A417" t="s">
        <v>527</v>
      </c>
      <c r="B417" t="s">
        <v>31</v>
      </c>
      <c r="C417" t="s">
        <v>23</v>
      </c>
      <c r="D417" t="s">
        <v>196</v>
      </c>
      <c r="E417" s="1">
        <v>44960</v>
      </c>
      <c r="F417" t="s">
        <v>57</v>
      </c>
      <c r="G417" t="s">
        <v>58</v>
      </c>
      <c r="H417">
        <v>4</v>
      </c>
      <c r="I417">
        <v>16347</v>
      </c>
      <c r="J417">
        <v>65388</v>
      </c>
      <c r="K417">
        <v>39174</v>
      </c>
      <c r="L417">
        <v>9421</v>
      </c>
      <c r="M417">
        <v>16793</v>
      </c>
      <c r="N417">
        <v>33</v>
      </c>
      <c r="O417" t="s">
        <v>34</v>
      </c>
      <c r="P417" t="s">
        <v>99</v>
      </c>
      <c r="Q417" s="1">
        <v>44955</v>
      </c>
      <c r="R417" s="1">
        <v>44927</v>
      </c>
      <c r="S417" t="s">
        <v>85</v>
      </c>
      <c r="T417" s="1">
        <v>44958</v>
      </c>
      <c r="U417">
        <v>2023</v>
      </c>
    </row>
    <row r="418" spans="1:21" x14ac:dyDescent="0.3">
      <c r="A418" t="s">
        <v>528</v>
      </c>
      <c r="B418" t="s">
        <v>31</v>
      </c>
      <c r="C418" t="s">
        <v>23</v>
      </c>
      <c r="D418" t="s">
        <v>135</v>
      </c>
      <c r="E418" s="1">
        <v>45208</v>
      </c>
      <c r="F418" t="s">
        <v>49</v>
      </c>
      <c r="G418" t="s">
        <v>64</v>
      </c>
      <c r="H418">
        <v>10</v>
      </c>
      <c r="I418">
        <v>31242</v>
      </c>
      <c r="J418">
        <v>312420</v>
      </c>
      <c r="K418">
        <v>153713</v>
      </c>
      <c r="L418">
        <v>32834</v>
      </c>
      <c r="M418">
        <v>125873</v>
      </c>
      <c r="N418">
        <v>30</v>
      </c>
      <c r="O418" t="s">
        <v>61</v>
      </c>
      <c r="P418" t="s">
        <v>51</v>
      </c>
      <c r="Q418" s="1">
        <v>45207</v>
      </c>
      <c r="R418" s="1">
        <v>45200</v>
      </c>
      <c r="S418" t="s">
        <v>52</v>
      </c>
      <c r="T418" s="1">
        <v>45200</v>
      </c>
      <c r="U418">
        <v>2023</v>
      </c>
    </row>
    <row r="419" spans="1:21" x14ac:dyDescent="0.3">
      <c r="A419" t="s">
        <v>529</v>
      </c>
      <c r="B419" t="s">
        <v>37</v>
      </c>
      <c r="C419" t="s">
        <v>38</v>
      </c>
      <c r="D419" t="s">
        <v>133</v>
      </c>
      <c r="E419" s="1">
        <v>44982</v>
      </c>
      <c r="F419" t="s">
        <v>57</v>
      </c>
      <c r="G419" t="s">
        <v>33</v>
      </c>
      <c r="H419">
        <v>10</v>
      </c>
      <c r="I419">
        <v>4609</v>
      </c>
      <c r="J419">
        <v>46090</v>
      </c>
      <c r="K419">
        <v>15632</v>
      </c>
      <c r="L419">
        <v>6070</v>
      </c>
      <c r="M419">
        <v>24388</v>
      </c>
      <c r="N419">
        <v>25</v>
      </c>
      <c r="O419" t="s">
        <v>50</v>
      </c>
      <c r="P419" t="s">
        <v>67</v>
      </c>
      <c r="Q419" s="1">
        <v>44976</v>
      </c>
      <c r="R419" s="1">
        <v>44927</v>
      </c>
      <c r="S419" t="s">
        <v>85</v>
      </c>
      <c r="T419" s="1">
        <v>44958</v>
      </c>
      <c r="U419">
        <v>2023</v>
      </c>
    </row>
    <row r="420" spans="1:21" x14ac:dyDescent="0.3">
      <c r="A420" t="s">
        <v>530</v>
      </c>
      <c r="B420" t="s">
        <v>31</v>
      </c>
      <c r="C420" t="s">
        <v>23</v>
      </c>
      <c r="D420" t="s">
        <v>78</v>
      </c>
      <c r="E420" s="1">
        <v>45188</v>
      </c>
      <c r="F420" t="s">
        <v>40</v>
      </c>
      <c r="G420" t="s">
        <v>64</v>
      </c>
      <c r="H420">
        <v>9</v>
      </c>
      <c r="I420">
        <v>24821</v>
      </c>
      <c r="J420">
        <v>223389</v>
      </c>
      <c r="K420">
        <v>84064</v>
      </c>
      <c r="L420">
        <v>24490</v>
      </c>
      <c r="M420">
        <v>114835</v>
      </c>
      <c r="N420">
        <v>38</v>
      </c>
      <c r="O420" t="s">
        <v>42</v>
      </c>
      <c r="P420" t="s">
        <v>62</v>
      </c>
      <c r="Q420" s="1">
        <v>45186</v>
      </c>
      <c r="R420" s="1">
        <v>45108</v>
      </c>
      <c r="S420" t="s">
        <v>104</v>
      </c>
      <c r="T420" s="1">
        <v>45170</v>
      </c>
      <c r="U420">
        <v>2023</v>
      </c>
    </row>
    <row r="421" spans="1:21" x14ac:dyDescent="0.3">
      <c r="A421" t="s">
        <v>531</v>
      </c>
      <c r="B421" t="s">
        <v>46</v>
      </c>
      <c r="C421" t="s">
        <v>47</v>
      </c>
      <c r="D421" t="s">
        <v>145</v>
      </c>
      <c r="E421" s="1">
        <v>44947</v>
      </c>
      <c r="F421" t="s">
        <v>25</v>
      </c>
      <c r="G421" t="s">
        <v>98</v>
      </c>
      <c r="H421">
        <v>5</v>
      </c>
      <c r="I421">
        <v>14954</v>
      </c>
      <c r="J421">
        <v>74770</v>
      </c>
      <c r="K421">
        <v>38327</v>
      </c>
      <c r="L421">
        <v>13735</v>
      </c>
      <c r="M421">
        <v>22708</v>
      </c>
      <c r="N421">
        <v>33</v>
      </c>
      <c r="O421" t="s">
        <v>27</v>
      </c>
      <c r="P421" t="s">
        <v>67</v>
      </c>
      <c r="Q421" s="1">
        <v>44941</v>
      </c>
      <c r="R421" s="1">
        <v>44927</v>
      </c>
      <c r="S421" t="s">
        <v>95</v>
      </c>
      <c r="T421" s="1">
        <v>44927</v>
      </c>
      <c r="U421">
        <v>2023</v>
      </c>
    </row>
    <row r="422" spans="1:21" x14ac:dyDescent="0.3">
      <c r="A422" t="s">
        <v>532</v>
      </c>
      <c r="B422" t="s">
        <v>31</v>
      </c>
      <c r="C422" t="s">
        <v>23</v>
      </c>
      <c r="D422" t="s">
        <v>148</v>
      </c>
      <c r="E422" s="1">
        <v>45032</v>
      </c>
      <c r="F422" t="s">
        <v>57</v>
      </c>
      <c r="G422" t="s">
        <v>41</v>
      </c>
      <c r="H422">
        <v>9</v>
      </c>
      <c r="I422">
        <v>54706</v>
      </c>
      <c r="J422">
        <v>492354</v>
      </c>
      <c r="K422">
        <v>218080</v>
      </c>
      <c r="L422">
        <v>75313</v>
      </c>
      <c r="M422">
        <v>198961</v>
      </c>
      <c r="N422">
        <v>10</v>
      </c>
      <c r="O422" t="s">
        <v>50</v>
      </c>
      <c r="P422" t="s">
        <v>28</v>
      </c>
      <c r="Q422" s="1">
        <v>45032</v>
      </c>
      <c r="R422" s="1">
        <v>45017</v>
      </c>
      <c r="S422" t="s">
        <v>74</v>
      </c>
      <c r="T422" s="1">
        <v>45017</v>
      </c>
      <c r="U422">
        <v>2023</v>
      </c>
    </row>
    <row r="423" spans="1:21" x14ac:dyDescent="0.3">
      <c r="A423" t="s">
        <v>533</v>
      </c>
      <c r="B423" t="s">
        <v>31</v>
      </c>
      <c r="C423" t="s">
        <v>23</v>
      </c>
      <c r="D423" t="s">
        <v>176</v>
      </c>
      <c r="E423" s="1">
        <v>45060</v>
      </c>
      <c r="F423" t="s">
        <v>25</v>
      </c>
      <c r="G423" t="s">
        <v>41</v>
      </c>
      <c r="H423">
        <v>4</v>
      </c>
      <c r="I423">
        <v>9834</v>
      </c>
      <c r="J423">
        <v>39336</v>
      </c>
      <c r="K423">
        <v>20751</v>
      </c>
      <c r="L423">
        <v>4927</v>
      </c>
      <c r="M423">
        <v>13658</v>
      </c>
      <c r="N423">
        <v>41</v>
      </c>
      <c r="O423" t="s">
        <v>42</v>
      </c>
      <c r="P423" t="s">
        <v>28</v>
      </c>
      <c r="Q423" s="1">
        <v>45060</v>
      </c>
      <c r="R423" s="1">
        <v>45017</v>
      </c>
      <c r="S423" t="s">
        <v>68</v>
      </c>
      <c r="T423" s="1">
        <v>45047</v>
      </c>
      <c r="U423">
        <v>2023</v>
      </c>
    </row>
    <row r="424" spans="1:21" x14ac:dyDescent="0.3">
      <c r="A424" t="s">
        <v>534</v>
      </c>
      <c r="B424" t="s">
        <v>22</v>
      </c>
      <c r="C424" t="s">
        <v>23</v>
      </c>
      <c r="D424" t="s">
        <v>24</v>
      </c>
      <c r="E424" s="1">
        <v>44948</v>
      </c>
      <c r="F424" t="s">
        <v>49</v>
      </c>
      <c r="G424" t="s">
        <v>58</v>
      </c>
      <c r="H424">
        <v>9</v>
      </c>
      <c r="I424">
        <v>31083</v>
      </c>
      <c r="J424">
        <v>279747</v>
      </c>
      <c r="K424">
        <v>108265</v>
      </c>
      <c r="L424">
        <v>37912</v>
      </c>
      <c r="M424">
        <v>133570</v>
      </c>
      <c r="N424">
        <v>17</v>
      </c>
      <c r="O424" t="s">
        <v>34</v>
      </c>
      <c r="P424" t="s">
        <v>28</v>
      </c>
      <c r="Q424" s="1">
        <v>44948</v>
      </c>
      <c r="R424" s="1">
        <v>44927</v>
      </c>
      <c r="S424" t="s">
        <v>95</v>
      </c>
      <c r="T424" s="1">
        <v>44927</v>
      </c>
      <c r="U424">
        <v>2023</v>
      </c>
    </row>
    <row r="425" spans="1:21" x14ac:dyDescent="0.3">
      <c r="A425" t="s">
        <v>535</v>
      </c>
      <c r="B425" t="s">
        <v>31</v>
      </c>
      <c r="C425" t="s">
        <v>23</v>
      </c>
      <c r="D425" t="s">
        <v>108</v>
      </c>
      <c r="E425" s="1">
        <v>44979</v>
      </c>
      <c r="F425" t="s">
        <v>57</v>
      </c>
      <c r="G425" t="s">
        <v>81</v>
      </c>
      <c r="H425">
        <v>10</v>
      </c>
      <c r="I425">
        <v>65177</v>
      </c>
      <c r="J425">
        <v>651770</v>
      </c>
      <c r="K425">
        <v>337673</v>
      </c>
      <c r="L425">
        <v>114803</v>
      </c>
      <c r="M425">
        <v>199294</v>
      </c>
      <c r="N425">
        <v>25</v>
      </c>
      <c r="O425" t="s">
        <v>42</v>
      </c>
      <c r="P425" t="s">
        <v>43</v>
      </c>
      <c r="Q425" s="1">
        <v>44976</v>
      </c>
      <c r="R425" s="1">
        <v>44927</v>
      </c>
      <c r="S425" t="s">
        <v>85</v>
      </c>
      <c r="T425" s="1">
        <v>44958</v>
      </c>
      <c r="U425">
        <v>2023</v>
      </c>
    </row>
    <row r="426" spans="1:21" x14ac:dyDescent="0.3">
      <c r="A426" t="s">
        <v>536</v>
      </c>
      <c r="B426" t="s">
        <v>37</v>
      </c>
      <c r="C426" t="s">
        <v>38</v>
      </c>
      <c r="D426" t="s">
        <v>54</v>
      </c>
      <c r="E426" s="1">
        <v>44968</v>
      </c>
      <c r="F426" t="s">
        <v>40</v>
      </c>
      <c r="G426" t="s">
        <v>81</v>
      </c>
      <c r="H426">
        <v>10</v>
      </c>
      <c r="I426">
        <v>7404</v>
      </c>
      <c r="J426">
        <v>74040</v>
      </c>
      <c r="K426">
        <v>30051</v>
      </c>
      <c r="L426">
        <v>12348</v>
      </c>
      <c r="M426">
        <v>31641</v>
      </c>
      <c r="N426">
        <v>28</v>
      </c>
      <c r="O426" t="s">
        <v>50</v>
      </c>
      <c r="P426" t="s">
        <v>67</v>
      </c>
      <c r="Q426" s="1">
        <v>44962</v>
      </c>
      <c r="R426" s="1">
        <v>44927</v>
      </c>
      <c r="S426" t="s">
        <v>85</v>
      </c>
      <c r="T426" s="1">
        <v>44958</v>
      </c>
      <c r="U426">
        <v>2023</v>
      </c>
    </row>
    <row r="427" spans="1:21" x14ac:dyDescent="0.3">
      <c r="A427" t="s">
        <v>537</v>
      </c>
      <c r="B427" t="s">
        <v>31</v>
      </c>
      <c r="C427" t="s">
        <v>23</v>
      </c>
      <c r="D427" t="s">
        <v>56</v>
      </c>
      <c r="E427" s="1">
        <v>44978</v>
      </c>
      <c r="F427" t="s">
        <v>57</v>
      </c>
      <c r="G427" t="s">
        <v>81</v>
      </c>
      <c r="H427">
        <v>8</v>
      </c>
      <c r="I427">
        <v>11591</v>
      </c>
      <c r="J427">
        <v>92728</v>
      </c>
      <c r="K427">
        <v>44412</v>
      </c>
      <c r="L427">
        <v>15408</v>
      </c>
      <c r="M427">
        <v>32908</v>
      </c>
      <c r="N427">
        <v>12</v>
      </c>
      <c r="O427" t="s">
        <v>50</v>
      </c>
      <c r="P427" t="s">
        <v>62</v>
      </c>
      <c r="Q427" s="1">
        <v>44976</v>
      </c>
      <c r="R427" s="1">
        <v>44927</v>
      </c>
      <c r="S427" t="s">
        <v>85</v>
      </c>
      <c r="T427" s="1">
        <v>44958</v>
      </c>
      <c r="U427">
        <v>2023</v>
      </c>
    </row>
    <row r="428" spans="1:21" x14ac:dyDescent="0.3">
      <c r="A428" t="s">
        <v>538</v>
      </c>
      <c r="B428" t="s">
        <v>46</v>
      </c>
      <c r="C428" t="s">
        <v>47</v>
      </c>
      <c r="D428" t="s">
        <v>121</v>
      </c>
      <c r="E428" s="1">
        <v>44997</v>
      </c>
      <c r="F428" t="s">
        <v>49</v>
      </c>
      <c r="G428" t="s">
        <v>33</v>
      </c>
      <c r="H428">
        <v>1</v>
      </c>
      <c r="I428">
        <v>8096</v>
      </c>
      <c r="J428">
        <v>8096</v>
      </c>
      <c r="K428">
        <v>4115</v>
      </c>
      <c r="L428">
        <v>810</v>
      </c>
      <c r="M428">
        <v>3171</v>
      </c>
      <c r="N428">
        <v>24</v>
      </c>
      <c r="O428" t="s">
        <v>42</v>
      </c>
      <c r="P428" t="s">
        <v>28</v>
      </c>
      <c r="Q428" s="1">
        <v>44997</v>
      </c>
      <c r="R428" s="1">
        <v>44927</v>
      </c>
      <c r="S428" t="s">
        <v>44</v>
      </c>
      <c r="T428" s="1">
        <v>44986</v>
      </c>
      <c r="U428">
        <v>2023</v>
      </c>
    </row>
    <row r="429" spans="1:21" x14ac:dyDescent="0.3">
      <c r="A429" t="s">
        <v>539</v>
      </c>
      <c r="B429" t="s">
        <v>46</v>
      </c>
      <c r="C429" t="s">
        <v>47</v>
      </c>
      <c r="D429" t="s">
        <v>114</v>
      </c>
      <c r="E429" s="1">
        <v>45143</v>
      </c>
      <c r="F429" t="s">
        <v>25</v>
      </c>
      <c r="G429" t="s">
        <v>81</v>
      </c>
      <c r="H429">
        <v>8</v>
      </c>
      <c r="I429">
        <v>69373</v>
      </c>
      <c r="J429">
        <v>554984</v>
      </c>
      <c r="K429">
        <v>189130</v>
      </c>
      <c r="L429">
        <v>66158</v>
      </c>
      <c r="M429">
        <v>299696</v>
      </c>
      <c r="N429">
        <v>33</v>
      </c>
      <c r="O429" t="s">
        <v>61</v>
      </c>
      <c r="P429" t="s">
        <v>67</v>
      </c>
      <c r="Q429" s="1">
        <v>45137</v>
      </c>
      <c r="R429" s="1">
        <v>45108</v>
      </c>
      <c r="S429" t="s">
        <v>92</v>
      </c>
      <c r="T429" s="1">
        <v>45139</v>
      </c>
      <c r="U429">
        <v>2023</v>
      </c>
    </row>
    <row r="430" spans="1:21" x14ac:dyDescent="0.3">
      <c r="A430" t="s">
        <v>540</v>
      </c>
      <c r="B430" t="s">
        <v>37</v>
      </c>
      <c r="C430" t="s">
        <v>38</v>
      </c>
      <c r="D430" t="s">
        <v>128</v>
      </c>
      <c r="E430" s="1">
        <v>45170</v>
      </c>
      <c r="F430" t="s">
        <v>57</v>
      </c>
      <c r="G430" t="s">
        <v>81</v>
      </c>
      <c r="H430">
        <v>7</v>
      </c>
      <c r="I430">
        <v>8267</v>
      </c>
      <c r="J430">
        <v>57869</v>
      </c>
      <c r="K430">
        <v>26789</v>
      </c>
      <c r="L430">
        <v>6114</v>
      </c>
      <c r="M430">
        <v>24966</v>
      </c>
      <c r="N430">
        <v>24</v>
      </c>
      <c r="O430" t="s">
        <v>50</v>
      </c>
      <c r="P430" t="s">
        <v>99</v>
      </c>
      <c r="Q430" s="1">
        <v>45165</v>
      </c>
      <c r="R430" s="1">
        <v>45108</v>
      </c>
      <c r="S430" t="s">
        <v>104</v>
      </c>
      <c r="T430" s="1">
        <v>45170</v>
      </c>
      <c r="U430">
        <v>2023</v>
      </c>
    </row>
    <row r="431" spans="1:21" x14ac:dyDescent="0.3">
      <c r="A431" t="s">
        <v>541</v>
      </c>
      <c r="B431" t="s">
        <v>72</v>
      </c>
      <c r="C431" t="s">
        <v>47</v>
      </c>
      <c r="D431" t="s">
        <v>117</v>
      </c>
      <c r="E431" s="1">
        <v>45038</v>
      </c>
      <c r="F431" t="s">
        <v>57</v>
      </c>
      <c r="G431" t="s">
        <v>64</v>
      </c>
      <c r="H431">
        <v>10</v>
      </c>
      <c r="I431">
        <v>32303</v>
      </c>
      <c r="J431">
        <v>323030</v>
      </c>
      <c r="K431">
        <v>107689</v>
      </c>
      <c r="L431">
        <v>54540</v>
      </c>
      <c r="M431">
        <v>160801</v>
      </c>
      <c r="N431">
        <v>2</v>
      </c>
      <c r="O431" t="s">
        <v>42</v>
      </c>
      <c r="P431" t="s">
        <v>67</v>
      </c>
      <c r="Q431" s="1">
        <v>45032</v>
      </c>
      <c r="R431" s="1">
        <v>45017</v>
      </c>
      <c r="S431" t="s">
        <v>74</v>
      </c>
      <c r="T431" s="1">
        <v>45017</v>
      </c>
      <c r="U431">
        <v>2023</v>
      </c>
    </row>
    <row r="432" spans="1:21" x14ac:dyDescent="0.3">
      <c r="A432" t="s">
        <v>542</v>
      </c>
      <c r="B432" t="s">
        <v>22</v>
      </c>
      <c r="C432" t="s">
        <v>23</v>
      </c>
      <c r="D432" t="s">
        <v>148</v>
      </c>
      <c r="E432" s="1">
        <v>45071</v>
      </c>
      <c r="F432" t="s">
        <v>25</v>
      </c>
      <c r="G432" t="s">
        <v>81</v>
      </c>
      <c r="H432">
        <v>3</v>
      </c>
      <c r="I432">
        <v>31489</v>
      </c>
      <c r="J432">
        <v>94467</v>
      </c>
      <c r="K432">
        <v>53224</v>
      </c>
      <c r="L432">
        <v>14611</v>
      </c>
      <c r="M432">
        <v>26632</v>
      </c>
      <c r="N432">
        <v>14</v>
      </c>
      <c r="O432" t="s">
        <v>27</v>
      </c>
      <c r="P432" t="s">
        <v>84</v>
      </c>
      <c r="Q432" s="1">
        <v>45067</v>
      </c>
      <c r="R432" s="1">
        <v>45017</v>
      </c>
      <c r="S432" t="s">
        <v>68</v>
      </c>
      <c r="T432" s="1">
        <v>45047</v>
      </c>
      <c r="U432">
        <v>2023</v>
      </c>
    </row>
    <row r="433" spans="1:21" x14ac:dyDescent="0.3">
      <c r="A433" t="s">
        <v>543</v>
      </c>
      <c r="B433" t="s">
        <v>37</v>
      </c>
      <c r="C433" t="s">
        <v>38</v>
      </c>
      <c r="D433" t="s">
        <v>66</v>
      </c>
      <c r="E433" s="1">
        <v>45054</v>
      </c>
      <c r="F433" t="s">
        <v>25</v>
      </c>
      <c r="G433" t="s">
        <v>41</v>
      </c>
      <c r="H433">
        <v>3</v>
      </c>
      <c r="I433">
        <v>8152</v>
      </c>
      <c r="J433">
        <v>24456</v>
      </c>
      <c r="K433">
        <v>9920</v>
      </c>
      <c r="L433">
        <v>4469</v>
      </c>
      <c r="M433">
        <v>10067</v>
      </c>
      <c r="N433">
        <v>32</v>
      </c>
      <c r="O433" t="s">
        <v>42</v>
      </c>
      <c r="P433" t="s">
        <v>51</v>
      </c>
      <c r="Q433" s="1">
        <v>45053</v>
      </c>
      <c r="R433" s="1">
        <v>45017</v>
      </c>
      <c r="S433" t="s">
        <v>68</v>
      </c>
      <c r="T433" s="1">
        <v>45047</v>
      </c>
      <c r="U433">
        <v>2023</v>
      </c>
    </row>
    <row r="434" spans="1:21" x14ac:dyDescent="0.3">
      <c r="A434" t="s">
        <v>544</v>
      </c>
      <c r="B434" t="s">
        <v>31</v>
      </c>
      <c r="C434" t="s">
        <v>23</v>
      </c>
      <c r="D434" t="s">
        <v>32</v>
      </c>
      <c r="E434" s="1">
        <v>45079</v>
      </c>
      <c r="F434" t="s">
        <v>25</v>
      </c>
      <c r="G434" t="s">
        <v>81</v>
      </c>
      <c r="H434">
        <v>5</v>
      </c>
      <c r="I434">
        <v>25236</v>
      </c>
      <c r="J434">
        <v>126180</v>
      </c>
      <c r="K434">
        <v>56990</v>
      </c>
      <c r="L434">
        <v>12941</v>
      </c>
      <c r="M434">
        <v>56249</v>
      </c>
      <c r="N434">
        <v>43</v>
      </c>
      <c r="O434" t="s">
        <v>27</v>
      </c>
      <c r="P434" t="s">
        <v>99</v>
      </c>
      <c r="Q434" s="1">
        <v>45074</v>
      </c>
      <c r="R434" s="1">
        <v>45017</v>
      </c>
      <c r="S434" t="s">
        <v>35</v>
      </c>
      <c r="T434" s="1">
        <v>45078</v>
      </c>
      <c r="U434">
        <v>2023</v>
      </c>
    </row>
    <row r="435" spans="1:21" x14ac:dyDescent="0.3">
      <c r="A435" t="s">
        <v>545</v>
      </c>
      <c r="B435" t="s">
        <v>37</v>
      </c>
      <c r="C435" t="s">
        <v>38</v>
      </c>
      <c r="D435" t="s">
        <v>135</v>
      </c>
      <c r="E435" s="1">
        <v>45034</v>
      </c>
      <c r="F435" t="s">
        <v>49</v>
      </c>
      <c r="G435" t="s">
        <v>26</v>
      </c>
      <c r="H435">
        <v>1</v>
      </c>
      <c r="I435">
        <v>63080</v>
      </c>
      <c r="J435">
        <v>63080</v>
      </c>
      <c r="K435">
        <v>33601</v>
      </c>
      <c r="L435">
        <v>8540</v>
      </c>
      <c r="M435">
        <v>20939</v>
      </c>
      <c r="N435">
        <v>41</v>
      </c>
      <c r="O435" t="s">
        <v>50</v>
      </c>
      <c r="P435" t="s">
        <v>62</v>
      </c>
      <c r="Q435" s="1">
        <v>45032</v>
      </c>
      <c r="R435" s="1">
        <v>45017</v>
      </c>
      <c r="S435" t="s">
        <v>74</v>
      </c>
      <c r="T435" s="1">
        <v>45017</v>
      </c>
      <c r="U435">
        <v>2023</v>
      </c>
    </row>
    <row r="436" spans="1:21" x14ac:dyDescent="0.3">
      <c r="A436" t="s">
        <v>546</v>
      </c>
      <c r="B436" t="s">
        <v>46</v>
      </c>
      <c r="C436" t="s">
        <v>47</v>
      </c>
      <c r="D436" t="s">
        <v>176</v>
      </c>
      <c r="E436" s="1">
        <v>45231</v>
      </c>
      <c r="F436" t="s">
        <v>49</v>
      </c>
      <c r="G436" t="s">
        <v>81</v>
      </c>
      <c r="H436">
        <v>4</v>
      </c>
      <c r="I436">
        <v>64724</v>
      </c>
      <c r="J436">
        <v>258896</v>
      </c>
      <c r="K436">
        <v>133820</v>
      </c>
      <c r="L436">
        <v>36350</v>
      </c>
      <c r="M436">
        <v>88726</v>
      </c>
      <c r="N436">
        <v>13</v>
      </c>
      <c r="O436" t="s">
        <v>42</v>
      </c>
      <c r="P436" t="s">
        <v>43</v>
      </c>
      <c r="Q436" s="1">
        <v>45228</v>
      </c>
      <c r="R436" s="1">
        <v>45200</v>
      </c>
      <c r="S436" t="s">
        <v>138</v>
      </c>
      <c r="T436" s="1">
        <v>45231</v>
      </c>
      <c r="U436">
        <v>2023</v>
      </c>
    </row>
    <row r="437" spans="1:21" x14ac:dyDescent="0.3">
      <c r="A437" t="s">
        <v>547</v>
      </c>
      <c r="B437" t="s">
        <v>72</v>
      </c>
      <c r="C437" t="s">
        <v>47</v>
      </c>
      <c r="D437" t="s">
        <v>256</v>
      </c>
      <c r="E437" s="1">
        <v>45060</v>
      </c>
      <c r="F437" t="s">
        <v>25</v>
      </c>
      <c r="G437" t="s">
        <v>98</v>
      </c>
      <c r="H437">
        <v>6</v>
      </c>
      <c r="I437">
        <v>43617</v>
      </c>
      <c r="J437">
        <v>261702</v>
      </c>
      <c r="K437">
        <v>150282</v>
      </c>
      <c r="L437">
        <v>36588</v>
      </c>
      <c r="M437">
        <v>74832</v>
      </c>
      <c r="N437">
        <v>27</v>
      </c>
      <c r="O437" t="s">
        <v>42</v>
      </c>
      <c r="P437" t="s">
        <v>28</v>
      </c>
      <c r="Q437" s="1">
        <v>45060</v>
      </c>
      <c r="R437" s="1">
        <v>45017</v>
      </c>
      <c r="S437" t="s">
        <v>68</v>
      </c>
      <c r="T437" s="1">
        <v>45047</v>
      </c>
      <c r="U437">
        <v>2023</v>
      </c>
    </row>
    <row r="438" spans="1:21" x14ac:dyDescent="0.3">
      <c r="A438" t="s">
        <v>548</v>
      </c>
      <c r="B438" t="s">
        <v>46</v>
      </c>
      <c r="C438" t="s">
        <v>47</v>
      </c>
      <c r="D438" t="s">
        <v>142</v>
      </c>
      <c r="E438" s="1">
        <v>45166</v>
      </c>
      <c r="F438" t="s">
        <v>49</v>
      </c>
      <c r="G438" t="s">
        <v>64</v>
      </c>
      <c r="H438">
        <v>2</v>
      </c>
      <c r="I438">
        <v>47879</v>
      </c>
      <c r="J438">
        <v>95758</v>
      </c>
      <c r="K438">
        <v>38208</v>
      </c>
      <c r="L438">
        <v>13547</v>
      </c>
      <c r="M438">
        <v>44003</v>
      </c>
      <c r="N438">
        <v>45</v>
      </c>
      <c r="O438" t="s">
        <v>50</v>
      </c>
      <c r="P438" t="s">
        <v>51</v>
      </c>
      <c r="Q438" s="1">
        <v>45165</v>
      </c>
      <c r="R438" s="1">
        <v>45108</v>
      </c>
      <c r="S438" t="s">
        <v>92</v>
      </c>
      <c r="T438" s="1">
        <v>45139</v>
      </c>
      <c r="U438">
        <v>2023</v>
      </c>
    </row>
    <row r="439" spans="1:21" x14ac:dyDescent="0.3">
      <c r="A439" t="s">
        <v>549</v>
      </c>
      <c r="B439" t="s">
        <v>22</v>
      </c>
      <c r="C439" t="s">
        <v>23</v>
      </c>
      <c r="D439" t="s">
        <v>154</v>
      </c>
      <c r="E439" s="1">
        <v>45144</v>
      </c>
      <c r="F439" t="s">
        <v>40</v>
      </c>
      <c r="G439" t="s">
        <v>64</v>
      </c>
      <c r="H439">
        <v>1</v>
      </c>
      <c r="I439">
        <v>47795</v>
      </c>
      <c r="J439">
        <v>47795</v>
      </c>
      <c r="K439">
        <v>25302</v>
      </c>
      <c r="L439">
        <v>7305</v>
      </c>
      <c r="M439">
        <v>15188</v>
      </c>
      <c r="N439">
        <v>44</v>
      </c>
      <c r="O439" t="s">
        <v>27</v>
      </c>
      <c r="P439" t="s">
        <v>28</v>
      </c>
      <c r="Q439" s="1">
        <v>45144</v>
      </c>
      <c r="R439" s="1">
        <v>45108</v>
      </c>
      <c r="S439" t="s">
        <v>92</v>
      </c>
      <c r="T439" s="1">
        <v>45139</v>
      </c>
      <c r="U439">
        <v>2023</v>
      </c>
    </row>
    <row r="440" spans="1:21" x14ac:dyDescent="0.3">
      <c r="A440" t="s">
        <v>550</v>
      </c>
      <c r="B440" t="s">
        <v>31</v>
      </c>
      <c r="C440" t="s">
        <v>23</v>
      </c>
      <c r="D440" t="s">
        <v>56</v>
      </c>
      <c r="E440" s="1">
        <v>45068</v>
      </c>
      <c r="F440" t="s">
        <v>25</v>
      </c>
      <c r="G440" t="s">
        <v>81</v>
      </c>
      <c r="H440">
        <v>8</v>
      </c>
      <c r="I440">
        <v>39304</v>
      </c>
      <c r="J440">
        <v>314432</v>
      </c>
      <c r="K440">
        <v>137672</v>
      </c>
      <c r="L440">
        <v>35357</v>
      </c>
      <c r="M440">
        <v>141403</v>
      </c>
      <c r="N440">
        <v>46</v>
      </c>
      <c r="O440" t="s">
        <v>42</v>
      </c>
      <c r="P440" t="s">
        <v>51</v>
      </c>
      <c r="Q440" s="1">
        <v>45067</v>
      </c>
      <c r="R440" s="1">
        <v>45017</v>
      </c>
      <c r="S440" t="s">
        <v>68</v>
      </c>
      <c r="T440" s="1">
        <v>45047</v>
      </c>
      <c r="U440">
        <v>2023</v>
      </c>
    </row>
    <row r="441" spans="1:21" x14ac:dyDescent="0.3">
      <c r="A441" t="s">
        <v>551</v>
      </c>
      <c r="B441" t="s">
        <v>22</v>
      </c>
      <c r="C441" t="s">
        <v>23</v>
      </c>
      <c r="D441" t="s">
        <v>119</v>
      </c>
      <c r="E441" s="1">
        <v>45020</v>
      </c>
      <c r="F441" t="s">
        <v>40</v>
      </c>
      <c r="G441" t="s">
        <v>64</v>
      </c>
      <c r="H441">
        <v>10</v>
      </c>
      <c r="I441">
        <v>54571</v>
      </c>
      <c r="J441">
        <v>545710</v>
      </c>
      <c r="K441">
        <v>187890</v>
      </c>
      <c r="L441">
        <v>60247</v>
      </c>
      <c r="M441">
        <v>297573</v>
      </c>
      <c r="N441">
        <v>0</v>
      </c>
      <c r="O441" t="s">
        <v>27</v>
      </c>
      <c r="P441" t="s">
        <v>62</v>
      </c>
      <c r="Q441" s="1">
        <v>45018</v>
      </c>
      <c r="R441" s="1">
        <v>45017</v>
      </c>
      <c r="S441" t="s">
        <v>74</v>
      </c>
      <c r="T441" s="1">
        <v>45017</v>
      </c>
      <c r="U441">
        <v>2023</v>
      </c>
    </row>
    <row r="442" spans="1:21" x14ac:dyDescent="0.3">
      <c r="A442" t="s">
        <v>552</v>
      </c>
      <c r="B442" t="s">
        <v>31</v>
      </c>
      <c r="C442" t="s">
        <v>23</v>
      </c>
      <c r="D442" t="s">
        <v>137</v>
      </c>
      <c r="E442" s="1">
        <v>45031</v>
      </c>
      <c r="F442" t="s">
        <v>40</v>
      </c>
      <c r="G442" t="s">
        <v>64</v>
      </c>
      <c r="H442">
        <v>3</v>
      </c>
      <c r="I442">
        <v>7144</v>
      </c>
      <c r="J442">
        <v>21432</v>
      </c>
      <c r="K442">
        <v>11409</v>
      </c>
      <c r="L442">
        <v>3347</v>
      </c>
      <c r="M442">
        <v>6676</v>
      </c>
      <c r="N442">
        <v>21</v>
      </c>
      <c r="O442" t="s">
        <v>27</v>
      </c>
      <c r="P442" t="s">
        <v>67</v>
      </c>
      <c r="Q442" s="1">
        <v>45025</v>
      </c>
      <c r="R442" s="1">
        <v>45017</v>
      </c>
      <c r="S442" t="s">
        <v>74</v>
      </c>
      <c r="T442" s="1">
        <v>45017</v>
      </c>
      <c r="U442">
        <v>2023</v>
      </c>
    </row>
    <row r="443" spans="1:21" x14ac:dyDescent="0.3">
      <c r="A443" t="s">
        <v>553</v>
      </c>
      <c r="B443" t="s">
        <v>46</v>
      </c>
      <c r="C443" t="s">
        <v>47</v>
      </c>
      <c r="D443" t="s">
        <v>66</v>
      </c>
      <c r="E443" s="1">
        <v>44980</v>
      </c>
      <c r="F443" t="s">
        <v>40</v>
      </c>
      <c r="G443" t="s">
        <v>41</v>
      </c>
      <c r="H443">
        <v>10</v>
      </c>
      <c r="I443">
        <v>59444</v>
      </c>
      <c r="J443">
        <v>594440</v>
      </c>
      <c r="K443">
        <v>261091</v>
      </c>
      <c r="L443">
        <v>113597</v>
      </c>
      <c r="M443">
        <v>219752</v>
      </c>
      <c r="N443">
        <v>5</v>
      </c>
      <c r="O443" t="s">
        <v>34</v>
      </c>
      <c r="P443" t="s">
        <v>84</v>
      </c>
      <c r="Q443" s="1">
        <v>44976</v>
      </c>
      <c r="R443" s="1">
        <v>44927</v>
      </c>
      <c r="S443" t="s">
        <v>85</v>
      </c>
      <c r="T443" s="1">
        <v>44958</v>
      </c>
      <c r="U443">
        <v>2023</v>
      </c>
    </row>
    <row r="444" spans="1:21" x14ac:dyDescent="0.3">
      <c r="A444" t="s">
        <v>554</v>
      </c>
      <c r="B444" t="s">
        <v>31</v>
      </c>
      <c r="C444" t="s">
        <v>23</v>
      </c>
      <c r="D444" t="s">
        <v>70</v>
      </c>
      <c r="E444" s="1">
        <v>44932</v>
      </c>
      <c r="F444" t="s">
        <v>57</v>
      </c>
      <c r="G444" t="s">
        <v>58</v>
      </c>
      <c r="H444">
        <v>3</v>
      </c>
      <c r="I444">
        <v>53398</v>
      </c>
      <c r="J444">
        <v>160194</v>
      </c>
      <c r="K444">
        <v>91036</v>
      </c>
      <c r="L444">
        <v>16109</v>
      </c>
      <c r="M444">
        <v>53049</v>
      </c>
      <c r="N444">
        <v>7</v>
      </c>
      <c r="O444" t="s">
        <v>50</v>
      </c>
      <c r="P444" t="s">
        <v>99</v>
      </c>
      <c r="Q444" s="1">
        <v>44927</v>
      </c>
      <c r="R444" s="1">
        <v>44927</v>
      </c>
      <c r="S444" t="s">
        <v>95</v>
      </c>
      <c r="T444" s="1">
        <v>44927</v>
      </c>
      <c r="U444">
        <v>2023</v>
      </c>
    </row>
    <row r="445" spans="1:21" x14ac:dyDescent="0.3">
      <c r="A445" t="s">
        <v>555</v>
      </c>
      <c r="B445" t="s">
        <v>31</v>
      </c>
      <c r="C445" t="s">
        <v>23</v>
      </c>
      <c r="D445" t="s">
        <v>174</v>
      </c>
      <c r="E445" s="1">
        <v>44951</v>
      </c>
      <c r="F445" t="s">
        <v>49</v>
      </c>
      <c r="G445" t="s">
        <v>98</v>
      </c>
      <c r="H445">
        <v>6</v>
      </c>
      <c r="I445">
        <v>25119</v>
      </c>
      <c r="J445">
        <v>150714</v>
      </c>
      <c r="K445">
        <v>90054</v>
      </c>
      <c r="L445">
        <v>27195</v>
      </c>
      <c r="M445">
        <v>33465</v>
      </c>
      <c r="N445">
        <v>6</v>
      </c>
      <c r="O445" t="s">
        <v>50</v>
      </c>
      <c r="P445" t="s">
        <v>43</v>
      </c>
      <c r="Q445" s="1">
        <v>44948</v>
      </c>
      <c r="R445" s="1">
        <v>44927</v>
      </c>
      <c r="S445" t="s">
        <v>95</v>
      </c>
      <c r="T445" s="1">
        <v>44927</v>
      </c>
      <c r="U445">
        <v>2023</v>
      </c>
    </row>
    <row r="446" spans="1:21" x14ac:dyDescent="0.3">
      <c r="A446" t="s">
        <v>556</v>
      </c>
      <c r="B446" t="s">
        <v>31</v>
      </c>
      <c r="C446" t="s">
        <v>23</v>
      </c>
      <c r="D446" t="s">
        <v>145</v>
      </c>
      <c r="E446" s="1">
        <v>45139</v>
      </c>
      <c r="F446" t="s">
        <v>57</v>
      </c>
      <c r="G446" t="s">
        <v>26</v>
      </c>
      <c r="H446">
        <v>4</v>
      </c>
      <c r="I446">
        <v>15109</v>
      </c>
      <c r="J446">
        <v>60436</v>
      </c>
      <c r="K446">
        <v>19203</v>
      </c>
      <c r="L446">
        <v>8944</v>
      </c>
      <c r="M446">
        <v>32289</v>
      </c>
      <c r="N446">
        <v>16</v>
      </c>
      <c r="O446" t="s">
        <v>61</v>
      </c>
      <c r="P446" t="s">
        <v>62</v>
      </c>
      <c r="Q446" s="1">
        <v>45137</v>
      </c>
      <c r="R446" s="1">
        <v>45108</v>
      </c>
      <c r="S446" t="s">
        <v>92</v>
      </c>
      <c r="T446" s="1">
        <v>45139</v>
      </c>
      <c r="U446">
        <v>2023</v>
      </c>
    </row>
    <row r="447" spans="1:21" x14ac:dyDescent="0.3">
      <c r="A447" t="s">
        <v>557</v>
      </c>
      <c r="B447" t="s">
        <v>46</v>
      </c>
      <c r="C447" t="s">
        <v>47</v>
      </c>
      <c r="D447" t="s">
        <v>97</v>
      </c>
      <c r="E447" s="1">
        <v>45126</v>
      </c>
      <c r="F447" t="s">
        <v>49</v>
      </c>
      <c r="G447" t="s">
        <v>33</v>
      </c>
      <c r="H447">
        <v>6</v>
      </c>
      <c r="I447">
        <v>53955</v>
      </c>
      <c r="J447">
        <v>323730</v>
      </c>
      <c r="K447">
        <v>162935</v>
      </c>
      <c r="L447">
        <v>40616</v>
      </c>
      <c r="M447">
        <v>120179</v>
      </c>
      <c r="N447">
        <v>12</v>
      </c>
      <c r="O447" t="s">
        <v>27</v>
      </c>
      <c r="P447" t="s">
        <v>43</v>
      </c>
      <c r="Q447" s="1">
        <v>45123</v>
      </c>
      <c r="R447" s="1">
        <v>45108</v>
      </c>
      <c r="S447" t="s">
        <v>29</v>
      </c>
      <c r="T447" s="1">
        <v>45108</v>
      </c>
      <c r="U447">
        <v>2023</v>
      </c>
    </row>
    <row r="448" spans="1:21" x14ac:dyDescent="0.3">
      <c r="A448" t="s">
        <v>558</v>
      </c>
      <c r="B448" t="s">
        <v>72</v>
      </c>
      <c r="C448" t="s">
        <v>47</v>
      </c>
      <c r="D448" t="s">
        <v>176</v>
      </c>
      <c r="E448" s="1">
        <v>45210</v>
      </c>
      <c r="F448" t="s">
        <v>49</v>
      </c>
      <c r="G448" t="s">
        <v>58</v>
      </c>
      <c r="H448">
        <v>2</v>
      </c>
      <c r="I448">
        <v>46024</v>
      </c>
      <c r="J448">
        <v>92048</v>
      </c>
      <c r="K448">
        <v>54107</v>
      </c>
      <c r="L448">
        <v>11627</v>
      </c>
      <c r="M448">
        <v>26314</v>
      </c>
      <c r="N448">
        <v>50</v>
      </c>
      <c r="O448" t="s">
        <v>61</v>
      </c>
      <c r="P448" t="s">
        <v>43</v>
      </c>
      <c r="Q448" s="1">
        <v>45207</v>
      </c>
      <c r="R448" s="1">
        <v>45200</v>
      </c>
      <c r="S448" t="s">
        <v>52</v>
      </c>
      <c r="T448" s="1">
        <v>45200</v>
      </c>
      <c r="U448">
        <v>2023</v>
      </c>
    </row>
    <row r="449" spans="1:21" x14ac:dyDescent="0.3">
      <c r="A449" t="s">
        <v>559</v>
      </c>
      <c r="B449" t="s">
        <v>37</v>
      </c>
      <c r="C449" t="s">
        <v>38</v>
      </c>
      <c r="D449" t="s">
        <v>60</v>
      </c>
      <c r="E449" s="1">
        <v>45000</v>
      </c>
      <c r="F449" t="s">
        <v>25</v>
      </c>
      <c r="G449" t="s">
        <v>98</v>
      </c>
      <c r="H449">
        <v>3</v>
      </c>
      <c r="I449">
        <v>15099</v>
      </c>
      <c r="J449">
        <v>45297</v>
      </c>
      <c r="K449">
        <v>23124</v>
      </c>
      <c r="L449">
        <v>8407</v>
      </c>
      <c r="M449">
        <v>13766</v>
      </c>
      <c r="N449">
        <v>21</v>
      </c>
      <c r="O449" t="s">
        <v>42</v>
      </c>
      <c r="P449" t="s">
        <v>43</v>
      </c>
      <c r="Q449" s="1">
        <v>44997</v>
      </c>
      <c r="R449" s="1">
        <v>44927</v>
      </c>
      <c r="S449" t="s">
        <v>44</v>
      </c>
      <c r="T449" s="1">
        <v>44986</v>
      </c>
      <c r="U449">
        <v>2023</v>
      </c>
    </row>
    <row r="450" spans="1:21" x14ac:dyDescent="0.3">
      <c r="A450" t="s">
        <v>560</v>
      </c>
      <c r="B450" t="s">
        <v>46</v>
      </c>
      <c r="C450" t="s">
        <v>47</v>
      </c>
      <c r="D450" t="s">
        <v>221</v>
      </c>
      <c r="E450" s="1">
        <v>45010</v>
      </c>
      <c r="F450" t="s">
        <v>49</v>
      </c>
      <c r="G450" t="s">
        <v>26</v>
      </c>
      <c r="H450">
        <v>1</v>
      </c>
      <c r="I450">
        <v>13182</v>
      </c>
      <c r="J450">
        <v>13182</v>
      </c>
      <c r="K450">
        <v>6435</v>
      </c>
      <c r="L450">
        <v>1562</v>
      </c>
      <c r="M450">
        <v>5185</v>
      </c>
      <c r="N450">
        <v>12</v>
      </c>
      <c r="O450" t="s">
        <v>34</v>
      </c>
      <c r="P450" t="s">
        <v>67</v>
      </c>
      <c r="Q450" s="1">
        <v>45004</v>
      </c>
      <c r="R450" s="1">
        <v>44927</v>
      </c>
      <c r="S450" t="s">
        <v>44</v>
      </c>
      <c r="T450" s="1">
        <v>44986</v>
      </c>
      <c r="U450">
        <v>2023</v>
      </c>
    </row>
    <row r="451" spans="1:21" x14ac:dyDescent="0.3">
      <c r="A451" t="s">
        <v>561</v>
      </c>
      <c r="B451" t="s">
        <v>72</v>
      </c>
      <c r="C451" t="s">
        <v>47</v>
      </c>
      <c r="D451" t="s">
        <v>39</v>
      </c>
      <c r="E451" s="1">
        <v>45055</v>
      </c>
      <c r="F451" t="s">
        <v>40</v>
      </c>
      <c r="G451" t="s">
        <v>33</v>
      </c>
      <c r="H451">
        <v>6</v>
      </c>
      <c r="I451">
        <v>61962</v>
      </c>
      <c r="J451">
        <v>371772</v>
      </c>
      <c r="K451">
        <v>129166</v>
      </c>
      <c r="L451">
        <v>57254</v>
      </c>
      <c r="M451">
        <v>185352</v>
      </c>
      <c r="N451">
        <v>36</v>
      </c>
      <c r="O451" t="s">
        <v>61</v>
      </c>
      <c r="P451" t="s">
        <v>62</v>
      </c>
      <c r="Q451" s="1">
        <v>45053</v>
      </c>
      <c r="R451" s="1">
        <v>45017</v>
      </c>
      <c r="S451" t="s">
        <v>68</v>
      </c>
      <c r="T451" s="1">
        <v>45047</v>
      </c>
      <c r="U451">
        <v>2023</v>
      </c>
    </row>
    <row r="452" spans="1:21" x14ac:dyDescent="0.3">
      <c r="A452" t="s">
        <v>562</v>
      </c>
      <c r="B452" t="s">
        <v>22</v>
      </c>
      <c r="C452" t="s">
        <v>23</v>
      </c>
      <c r="D452" t="s">
        <v>137</v>
      </c>
      <c r="E452" s="1">
        <v>45106</v>
      </c>
      <c r="F452" t="s">
        <v>40</v>
      </c>
      <c r="G452" t="s">
        <v>33</v>
      </c>
      <c r="H452">
        <v>6</v>
      </c>
      <c r="I452">
        <v>44708</v>
      </c>
      <c r="J452">
        <v>268248</v>
      </c>
      <c r="K452">
        <v>152610</v>
      </c>
      <c r="L452">
        <v>38011</v>
      </c>
      <c r="M452">
        <v>77627</v>
      </c>
      <c r="N452">
        <v>49</v>
      </c>
      <c r="O452" t="s">
        <v>61</v>
      </c>
      <c r="P452" t="s">
        <v>84</v>
      </c>
      <c r="Q452" s="1">
        <v>45102</v>
      </c>
      <c r="R452" s="1">
        <v>45017</v>
      </c>
      <c r="S452" t="s">
        <v>35</v>
      </c>
      <c r="T452" s="1">
        <v>45078</v>
      </c>
      <c r="U452">
        <v>2023</v>
      </c>
    </row>
    <row r="453" spans="1:21" x14ac:dyDescent="0.3">
      <c r="A453" t="s">
        <v>563</v>
      </c>
      <c r="B453" t="s">
        <v>46</v>
      </c>
      <c r="C453" t="s">
        <v>47</v>
      </c>
      <c r="D453" t="s">
        <v>142</v>
      </c>
      <c r="E453" s="1">
        <v>44991</v>
      </c>
      <c r="F453" t="s">
        <v>57</v>
      </c>
      <c r="G453" t="s">
        <v>98</v>
      </c>
      <c r="H453">
        <v>8</v>
      </c>
      <c r="I453">
        <v>2150</v>
      </c>
      <c r="J453">
        <v>17200</v>
      </c>
      <c r="K453">
        <v>8434</v>
      </c>
      <c r="L453">
        <v>2253</v>
      </c>
      <c r="M453">
        <v>6513</v>
      </c>
      <c r="N453">
        <v>42</v>
      </c>
      <c r="O453" t="s">
        <v>61</v>
      </c>
      <c r="P453" t="s">
        <v>51</v>
      </c>
      <c r="Q453" s="1">
        <v>44990</v>
      </c>
      <c r="R453" s="1">
        <v>44927</v>
      </c>
      <c r="S453" t="s">
        <v>44</v>
      </c>
      <c r="T453" s="1">
        <v>44986</v>
      </c>
      <c r="U453">
        <v>2023</v>
      </c>
    </row>
    <row r="454" spans="1:21" x14ac:dyDescent="0.3">
      <c r="A454" t="s">
        <v>564</v>
      </c>
      <c r="B454" t="s">
        <v>72</v>
      </c>
      <c r="C454" t="s">
        <v>47</v>
      </c>
      <c r="D454" t="s">
        <v>48</v>
      </c>
      <c r="E454" s="1">
        <v>45031</v>
      </c>
      <c r="F454" t="s">
        <v>49</v>
      </c>
      <c r="G454" t="s">
        <v>98</v>
      </c>
      <c r="H454">
        <v>3</v>
      </c>
      <c r="I454">
        <v>62401</v>
      </c>
      <c r="J454">
        <v>187203</v>
      </c>
      <c r="K454">
        <v>56326</v>
      </c>
      <c r="L454">
        <v>27628</v>
      </c>
      <c r="M454">
        <v>103249</v>
      </c>
      <c r="N454">
        <v>32</v>
      </c>
      <c r="O454" t="s">
        <v>50</v>
      </c>
      <c r="P454" t="s">
        <v>67</v>
      </c>
      <c r="Q454" s="1">
        <v>45025</v>
      </c>
      <c r="R454" s="1">
        <v>45017</v>
      </c>
      <c r="S454" t="s">
        <v>74</v>
      </c>
      <c r="T454" s="1">
        <v>45017</v>
      </c>
      <c r="U454">
        <v>2023</v>
      </c>
    </row>
    <row r="455" spans="1:21" x14ac:dyDescent="0.3">
      <c r="A455" t="s">
        <v>565</v>
      </c>
      <c r="B455" t="s">
        <v>46</v>
      </c>
      <c r="C455" t="s">
        <v>47</v>
      </c>
      <c r="D455" t="s">
        <v>106</v>
      </c>
      <c r="E455" s="1">
        <v>45115</v>
      </c>
      <c r="F455" t="s">
        <v>40</v>
      </c>
      <c r="G455" t="s">
        <v>33</v>
      </c>
      <c r="H455">
        <v>2</v>
      </c>
      <c r="I455">
        <v>22901</v>
      </c>
      <c r="J455">
        <v>45802</v>
      </c>
      <c r="K455">
        <v>25939</v>
      </c>
      <c r="L455">
        <v>7259</v>
      </c>
      <c r="M455">
        <v>12604</v>
      </c>
      <c r="N455">
        <v>11</v>
      </c>
      <c r="O455" t="s">
        <v>61</v>
      </c>
      <c r="P455" t="s">
        <v>67</v>
      </c>
      <c r="Q455" s="1">
        <v>45109</v>
      </c>
      <c r="R455" s="1">
        <v>45108</v>
      </c>
      <c r="S455" t="s">
        <v>29</v>
      </c>
      <c r="T455" s="1">
        <v>45108</v>
      </c>
      <c r="U455">
        <v>2023</v>
      </c>
    </row>
    <row r="456" spans="1:21" x14ac:dyDescent="0.3">
      <c r="A456" t="s">
        <v>566</v>
      </c>
      <c r="B456" t="s">
        <v>37</v>
      </c>
      <c r="C456" t="s">
        <v>38</v>
      </c>
      <c r="D456" t="s">
        <v>66</v>
      </c>
      <c r="E456" s="1">
        <v>45139</v>
      </c>
      <c r="F456" t="s">
        <v>49</v>
      </c>
      <c r="G456" t="s">
        <v>58</v>
      </c>
      <c r="H456">
        <v>2</v>
      </c>
      <c r="I456">
        <v>17860</v>
      </c>
      <c r="J456">
        <v>35720</v>
      </c>
      <c r="K456">
        <v>16243</v>
      </c>
      <c r="L456">
        <v>4431</v>
      </c>
      <c r="M456">
        <v>15046</v>
      </c>
      <c r="N456">
        <v>6</v>
      </c>
      <c r="O456" t="s">
        <v>42</v>
      </c>
      <c r="P456" t="s">
        <v>62</v>
      </c>
      <c r="Q456" s="1">
        <v>45137</v>
      </c>
      <c r="R456" s="1">
        <v>45108</v>
      </c>
      <c r="S456" t="s">
        <v>92</v>
      </c>
      <c r="T456" s="1">
        <v>45139</v>
      </c>
      <c r="U456">
        <v>2023</v>
      </c>
    </row>
    <row r="457" spans="1:21" x14ac:dyDescent="0.3">
      <c r="A457" t="s">
        <v>567</v>
      </c>
      <c r="B457" t="s">
        <v>22</v>
      </c>
      <c r="C457" t="s">
        <v>23</v>
      </c>
      <c r="D457" t="s">
        <v>188</v>
      </c>
      <c r="E457" s="1">
        <v>44969</v>
      </c>
      <c r="F457" t="s">
        <v>25</v>
      </c>
      <c r="G457" t="s">
        <v>64</v>
      </c>
      <c r="H457">
        <v>7</v>
      </c>
      <c r="I457">
        <v>20265</v>
      </c>
      <c r="J457">
        <v>141855</v>
      </c>
      <c r="K457">
        <v>84137</v>
      </c>
      <c r="L457">
        <v>19983</v>
      </c>
      <c r="M457">
        <v>37735</v>
      </c>
      <c r="N457">
        <v>7</v>
      </c>
      <c r="O457" t="s">
        <v>61</v>
      </c>
      <c r="P457" t="s">
        <v>28</v>
      </c>
      <c r="Q457" s="1">
        <v>44969</v>
      </c>
      <c r="R457" s="1">
        <v>44927</v>
      </c>
      <c r="S457" t="s">
        <v>85</v>
      </c>
      <c r="T457" s="1">
        <v>44958</v>
      </c>
      <c r="U457">
        <v>2023</v>
      </c>
    </row>
    <row r="458" spans="1:21" x14ac:dyDescent="0.3">
      <c r="A458" t="s">
        <v>568</v>
      </c>
      <c r="B458" t="s">
        <v>22</v>
      </c>
      <c r="C458" t="s">
        <v>23</v>
      </c>
      <c r="D458" t="s">
        <v>168</v>
      </c>
      <c r="E458" s="1">
        <v>45169</v>
      </c>
      <c r="F458" t="s">
        <v>57</v>
      </c>
      <c r="G458" t="s">
        <v>26</v>
      </c>
      <c r="H458">
        <v>4</v>
      </c>
      <c r="I458">
        <v>67947</v>
      </c>
      <c r="J458">
        <v>271788</v>
      </c>
      <c r="K458">
        <v>123508</v>
      </c>
      <c r="L458">
        <v>42406</v>
      </c>
      <c r="M458">
        <v>105874</v>
      </c>
      <c r="N458">
        <v>36</v>
      </c>
      <c r="O458" t="s">
        <v>61</v>
      </c>
      <c r="P458" t="s">
        <v>84</v>
      </c>
      <c r="Q458" s="1">
        <v>45165</v>
      </c>
      <c r="R458" s="1">
        <v>45108</v>
      </c>
      <c r="S458" t="s">
        <v>92</v>
      </c>
      <c r="T458" s="1">
        <v>45139</v>
      </c>
      <c r="U458">
        <v>2023</v>
      </c>
    </row>
    <row r="459" spans="1:21" x14ac:dyDescent="0.3">
      <c r="A459" t="s">
        <v>569</v>
      </c>
      <c r="B459" t="s">
        <v>31</v>
      </c>
      <c r="C459" t="s">
        <v>23</v>
      </c>
      <c r="D459" t="s">
        <v>78</v>
      </c>
      <c r="E459" s="1">
        <v>45158</v>
      </c>
      <c r="F459" t="s">
        <v>40</v>
      </c>
      <c r="G459" t="s">
        <v>41</v>
      </c>
      <c r="H459">
        <v>3</v>
      </c>
      <c r="I459">
        <v>56947</v>
      </c>
      <c r="J459">
        <v>170841</v>
      </c>
      <c r="K459">
        <v>58292</v>
      </c>
      <c r="L459">
        <v>23473</v>
      </c>
      <c r="M459">
        <v>89076</v>
      </c>
      <c r="N459">
        <v>19</v>
      </c>
      <c r="O459" t="s">
        <v>42</v>
      </c>
      <c r="P459" t="s">
        <v>28</v>
      </c>
      <c r="Q459" s="1">
        <v>45158</v>
      </c>
      <c r="R459" s="1">
        <v>45108</v>
      </c>
      <c r="S459" t="s">
        <v>92</v>
      </c>
      <c r="T459" s="1">
        <v>45139</v>
      </c>
      <c r="U459">
        <v>2023</v>
      </c>
    </row>
    <row r="460" spans="1:21" x14ac:dyDescent="0.3">
      <c r="A460" t="s">
        <v>570</v>
      </c>
      <c r="B460" t="s">
        <v>31</v>
      </c>
      <c r="C460" t="s">
        <v>23</v>
      </c>
      <c r="D460" t="s">
        <v>174</v>
      </c>
      <c r="E460" s="1">
        <v>45043</v>
      </c>
      <c r="F460" t="s">
        <v>57</v>
      </c>
      <c r="G460" t="s">
        <v>58</v>
      </c>
      <c r="H460">
        <v>5</v>
      </c>
      <c r="I460">
        <v>11910</v>
      </c>
      <c r="J460">
        <v>59550</v>
      </c>
      <c r="K460">
        <v>32285</v>
      </c>
      <c r="L460">
        <v>8553</v>
      </c>
      <c r="M460">
        <v>18712</v>
      </c>
      <c r="N460">
        <v>0</v>
      </c>
      <c r="O460" t="s">
        <v>61</v>
      </c>
      <c r="P460" t="s">
        <v>84</v>
      </c>
      <c r="Q460" s="1">
        <v>45039</v>
      </c>
      <c r="R460" s="1">
        <v>45017</v>
      </c>
      <c r="S460" t="s">
        <v>74</v>
      </c>
      <c r="T460" s="1">
        <v>45017</v>
      </c>
      <c r="U460">
        <v>2023</v>
      </c>
    </row>
    <row r="461" spans="1:21" x14ac:dyDescent="0.3">
      <c r="A461" t="s">
        <v>571</v>
      </c>
      <c r="B461" t="s">
        <v>22</v>
      </c>
      <c r="C461" t="s">
        <v>23</v>
      </c>
      <c r="D461" t="s">
        <v>188</v>
      </c>
      <c r="E461" s="1">
        <v>44949</v>
      </c>
      <c r="F461" t="s">
        <v>25</v>
      </c>
      <c r="G461" t="s">
        <v>26</v>
      </c>
      <c r="H461">
        <v>8</v>
      </c>
      <c r="I461">
        <v>45446</v>
      </c>
      <c r="J461">
        <v>363568</v>
      </c>
      <c r="K461">
        <v>181624</v>
      </c>
      <c r="L461">
        <v>64048</v>
      </c>
      <c r="M461">
        <v>117896</v>
      </c>
      <c r="N461">
        <v>41</v>
      </c>
      <c r="O461" t="s">
        <v>34</v>
      </c>
      <c r="P461" t="s">
        <v>51</v>
      </c>
      <c r="Q461" s="1">
        <v>44948</v>
      </c>
      <c r="R461" s="1">
        <v>44927</v>
      </c>
      <c r="S461" t="s">
        <v>95</v>
      </c>
      <c r="T461" s="1">
        <v>44927</v>
      </c>
      <c r="U461">
        <v>2023</v>
      </c>
    </row>
    <row r="462" spans="1:21" x14ac:dyDescent="0.3">
      <c r="A462" t="s">
        <v>572</v>
      </c>
      <c r="B462" t="s">
        <v>46</v>
      </c>
      <c r="C462" t="s">
        <v>47</v>
      </c>
      <c r="D462" t="s">
        <v>32</v>
      </c>
      <c r="E462" s="1">
        <v>45183</v>
      </c>
      <c r="F462" t="s">
        <v>57</v>
      </c>
      <c r="G462" t="s">
        <v>58</v>
      </c>
      <c r="H462">
        <v>1</v>
      </c>
      <c r="I462">
        <v>4921</v>
      </c>
      <c r="J462">
        <v>4921</v>
      </c>
      <c r="K462">
        <v>1631</v>
      </c>
      <c r="L462">
        <v>980</v>
      </c>
      <c r="M462">
        <v>2310</v>
      </c>
      <c r="N462">
        <v>29</v>
      </c>
      <c r="O462" t="s">
        <v>27</v>
      </c>
      <c r="P462" t="s">
        <v>84</v>
      </c>
      <c r="Q462" s="1">
        <v>45179</v>
      </c>
      <c r="R462" s="1">
        <v>45108</v>
      </c>
      <c r="S462" t="s">
        <v>104</v>
      </c>
      <c r="T462" s="1">
        <v>45170</v>
      </c>
      <c r="U462">
        <v>2023</v>
      </c>
    </row>
    <row r="463" spans="1:21" x14ac:dyDescent="0.3">
      <c r="A463" t="s">
        <v>573</v>
      </c>
      <c r="B463" t="s">
        <v>37</v>
      </c>
      <c r="C463" t="s">
        <v>38</v>
      </c>
      <c r="D463" t="s">
        <v>24</v>
      </c>
      <c r="E463" s="1">
        <v>45234</v>
      </c>
      <c r="F463" t="s">
        <v>57</v>
      </c>
      <c r="G463" t="s">
        <v>64</v>
      </c>
      <c r="H463">
        <v>10</v>
      </c>
      <c r="I463">
        <v>11652</v>
      </c>
      <c r="J463">
        <v>116520</v>
      </c>
      <c r="K463">
        <v>36721</v>
      </c>
      <c r="L463">
        <v>15236</v>
      </c>
      <c r="M463">
        <v>64563</v>
      </c>
      <c r="N463">
        <v>27</v>
      </c>
      <c r="O463" t="s">
        <v>34</v>
      </c>
      <c r="P463" t="s">
        <v>67</v>
      </c>
      <c r="Q463" s="1">
        <v>45228</v>
      </c>
      <c r="R463" s="1">
        <v>45200</v>
      </c>
      <c r="S463" t="s">
        <v>138</v>
      </c>
      <c r="T463" s="1">
        <v>45231</v>
      </c>
      <c r="U463">
        <v>2023</v>
      </c>
    </row>
    <row r="464" spans="1:21" x14ac:dyDescent="0.3">
      <c r="A464" t="s">
        <v>574</v>
      </c>
      <c r="B464" t="s">
        <v>31</v>
      </c>
      <c r="C464" t="s">
        <v>23</v>
      </c>
      <c r="D464" t="s">
        <v>174</v>
      </c>
      <c r="E464" s="1">
        <v>45173</v>
      </c>
      <c r="F464" t="s">
        <v>40</v>
      </c>
      <c r="G464" t="s">
        <v>98</v>
      </c>
      <c r="H464">
        <v>9</v>
      </c>
      <c r="I464">
        <v>57798</v>
      </c>
      <c r="J464">
        <v>520182</v>
      </c>
      <c r="K464">
        <v>193325</v>
      </c>
      <c r="L464">
        <v>85002</v>
      </c>
      <c r="M464">
        <v>241855</v>
      </c>
      <c r="N464">
        <v>22</v>
      </c>
      <c r="O464" t="s">
        <v>50</v>
      </c>
      <c r="P464" t="s">
        <v>51</v>
      </c>
      <c r="Q464" s="1">
        <v>45172</v>
      </c>
      <c r="R464" s="1">
        <v>45108</v>
      </c>
      <c r="S464" t="s">
        <v>104</v>
      </c>
      <c r="T464" s="1">
        <v>45170</v>
      </c>
      <c r="U464">
        <v>2023</v>
      </c>
    </row>
    <row r="465" spans="1:21" x14ac:dyDescent="0.3">
      <c r="A465" t="s">
        <v>575</v>
      </c>
      <c r="B465" t="s">
        <v>22</v>
      </c>
      <c r="C465" t="s">
        <v>23</v>
      </c>
      <c r="D465" t="s">
        <v>121</v>
      </c>
      <c r="E465" s="1">
        <v>44945</v>
      </c>
      <c r="F465" t="s">
        <v>49</v>
      </c>
      <c r="G465" t="s">
        <v>41</v>
      </c>
      <c r="H465">
        <v>6</v>
      </c>
      <c r="I465">
        <v>60300</v>
      </c>
      <c r="J465">
        <v>361800</v>
      </c>
      <c r="K465">
        <v>197785</v>
      </c>
      <c r="L465">
        <v>48474</v>
      </c>
      <c r="M465">
        <v>115541</v>
      </c>
      <c r="N465">
        <v>8</v>
      </c>
      <c r="O465" t="s">
        <v>50</v>
      </c>
      <c r="P465" t="s">
        <v>84</v>
      </c>
      <c r="Q465" s="1">
        <v>44941</v>
      </c>
      <c r="R465" s="1">
        <v>44927</v>
      </c>
      <c r="S465" t="s">
        <v>95</v>
      </c>
      <c r="T465" s="1">
        <v>44927</v>
      </c>
      <c r="U465">
        <v>2023</v>
      </c>
    </row>
    <row r="466" spans="1:21" x14ac:dyDescent="0.3">
      <c r="A466" t="s">
        <v>576</v>
      </c>
      <c r="B466" t="s">
        <v>37</v>
      </c>
      <c r="C466" t="s">
        <v>38</v>
      </c>
      <c r="D466" t="s">
        <v>108</v>
      </c>
      <c r="E466" s="1">
        <v>45227</v>
      </c>
      <c r="F466" t="s">
        <v>25</v>
      </c>
      <c r="G466" t="s">
        <v>98</v>
      </c>
      <c r="H466">
        <v>10</v>
      </c>
      <c r="I466">
        <v>49046</v>
      </c>
      <c r="J466">
        <v>490460</v>
      </c>
      <c r="K466">
        <v>224432</v>
      </c>
      <c r="L466">
        <v>97156</v>
      </c>
      <c r="M466">
        <v>168872</v>
      </c>
      <c r="N466">
        <v>47</v>
      </c>
      <c r="O466" t="s">
        <v>27</v>
      </c>
      <c r="P466" t="s">
        <v>67</v>
      </c>
      <c r="Q466" s="1">
        <v>45221</v>
      </c>
      <c r="R466" s="1">
        <v>45200</v>
      </c>
      <c r="S466" t="s">
        <v>52</v>
      </c>
      <c r="T466" s="1">
        <v>45200</v>
      </c>
      <c r="U466">
        <v>2023</v>
      </c>
    </row>
    <row r="467" spans="1:21" x14ac:dyDescent="0.3">
      <c r="A467" t="s">
        <v>577</v>
      </c>
      <c r="B467" t="s">
        <v>22</v>
      </c>
      <c r="C467" t="s">
        <v>23</v>
      </c>
      <c r="D467" t="s">
        <v>114</v>
      </c>
      <c r="E467" s="1">
        <v>44999</v>
      </c>
      <c r="F467" t="s">
        <v>40</v>
      </c>
      <c r="G467" t="s">
        <v>26</v>
      </c>
      <c r="H467">
        <v>9</v>
      </c>
      <c r="I467">
        <v>59824</v>
      </c>
      <c r="J467">
        <v>538416</v>
      </c>
      <c r="K467">
        <v>241049</v>
      </c>
      <c r="L467">
        <v>72192</v>
      </c>
      <c r="M467">
        <v>225175</v>
      </c>
      <c r="N467">
        <v>28</v>
      </c>
      <c r="O467" t="s">
        <v>34</v>
      </c>
      <c r="P467" t="s">
        <v>62</v>
      </c>
      <c r="Q467" s="1">
        <v>44997</v>
      </c>
      <c r="R467" s="1">
        <v>44927</v>
      </c>
      <c r="S467" t="s">
        <v>44</v>
      </c>
      <c r="T467" s="1">
        <v>44986</v>
      </c>
      <c r="U467">
        <v>2023</v>
      </c>
    </row>
    <row r="468" spans="1:21" x14ac:dyDescent="0.3">
      <c r="A468" t="s">
        <v>578</v>
      </c>
      <c r="B468" t="s">
        <v>72</v>
      </c>
      <c r="C468" t="s">
        <v>47</v>
      </c>
      <c r="D468" t="s">
        <v>142</v>
      </c>
      <c r="E468" s="1">
        <v>45143</v>
      </c>
      <c r="F468" t="s">
        <v>57</v>
      </c>
      <c r="G468" t="s">
        <v>26</v>
      </c>
      <c r="H468">
        <v>7</v>
      </c>
      <c r="I468">
        <v>39016</v>
      </c>
      <c r="J468">
        <v>273112</v>
      </c>
      <c r="K468">
        <v>82991</v>
      </c>
      <c r="L468">
        <v>27751</v>
      </c>
      <c r="M468">
        <v>162370</v>
      </c>
      <c r="N468">
        <v>31</v>
      </c>
      <c r="O468" t="s">
        <v>61</v>
      </c>
      <c r="P468" t="s">
        <v>67</v>
      </c>
      <c r="Q468" s="1">
        <v>45137</v>
      </c>
      <c r="R468" s="1">
        <v>45108</v>
      </c>
      <c r="S468" t="s">
        <v>92</v>
      </c>
      <c r="T468" s="1">
        <v>45139</v>
      </c>
      <c r="U468">
        <v>2023</v>
      </c>
    </row>
    <row r="469" spans="1:21" x14ac:dyDescent="0.3">
      <c r="A469" t="s">
        <v>579</v>
      </c>
      <c r="B469" t="s">
        <v>46</v>
      </c>
      <c r="C469" t="s">
        <v>47</v>
      </c>
      <c r="D469" t="s">
        <v>135</v>
      </c>
      <c r="E469" s="1">
        <v>44957</v>
      </c>
      <c r="F469" t="s">
        <v>49</v>
      </c>
      <c r="G469" t="s">
        <v>98</v>
      </c>
      <c r="H469">
        <v>8</v>
      </c>
      <c r="I469">
        <v>28808</v>
      </c>
      <c r="J469">
        <v>230464</v>
      </c>
      <c r="K469">
        <v>84454</v>
      </c>
      <c r="L469">
        <v>34065</v>
      </c>
      <c r="M469">
        <v>111945</v>
      </c>
      <c r="N469">
        <v>8</v>
      </c>
      <c r="O469" t="s">
        <v>27</v>
      </c>
      <c r="P469" t="s">
        <v>62</v>
      </c>
      <c r="Q469" s="1">
        <v>44955</v>
      </c>
      <c r="R469" s="1">
        <v>44927</v>
      </c>
      <c r="S469" t="s">
        <v>95</v>
      </c>
      <c r="T469" s="1">
        <v>44927</v>
      </c>
      <c r="U469">
        <v>2023</v>
      </c>
    </row>
    <row r="470" spans="1:21" x14ac:dyDescent="0.3">
      <c r="A470" t="s">
        <v>580</v>
      </c>
      <c r="B470" t="s">
        <v>72</v>
      </c>
      <c r="C470" t="s">
        <v>47</v>
      </c>
      <c r="D470" t="s">
        <v>111</v>
      </c>
      <c r="E470" s="1">
        <v>44961</v>
      </c>
      <c r="F470" t="s">
        <v>49</v>
      </c>
      <c r="G470" t="s">
        <v>81</v>
      </c>
      <c r="H470">
        <v>1</v>
      </c>
      <c r="I470">
        <v>13288</v>
      </c>
      <c r="J470">
        <v>13288</v>
      </c>
      <c r="K470">
        <v>5625</v>
      </c>
      <c r="L470">
        <v>1832</v>
      </c>
      <c r="M470">
        <v>5831</v>
      </c>
      <c r="N470">
        <v>11</v>
      </c>
      <c r="O470" t="s">
        <v>61</v>
      </c>
      <c r="P470" t="s">
        <v>67</v>
      </c>
      <c r="Q470" s="1">
        <v>44955</v>
      </c>
      <c r="R470" s="1">
        <v>44927</v>
      </c>
      <c r="S470" t="s">
        <v>85</v>
      </c>
      <c r="T470" s="1">
        <v>44958</v>
      </c>
      <c r="U470">
        <v>2023</v>
      </c>
    </row>
    <row r="471" spans="1:21" x14ac:dyDescent="0.3">
      <c r="A471" t="s">
        <v>581</v>
      </c>
      <c r="B471" t="s">
        <v>22</v>
      </c>
      <c r="C471" t="s">
        <v>23</v>
      </c>
      <c r="D471" t="s">
        <v>117</v>
      </c>
      <c r="E471" s="1">
        <v>45218</v>
      </c>
      <c r="F471" t="s">
        <v>40</v>
      </c>
      <c r="G471" t="s">
        <v>58</v>
      </c>
      <c r="H471">
        <v>9</v>
      </c>
      <c r="I471">
        <v>55572</v>
      </c>
      <c r="J471">
        <v>500148</v>
      </c>
      <c r="K471">
        <v>208555</v>
      </c>
      <c r="L471">
        <v>53287</v>
      </c>
      <c r="M471">
        <v>238306</v>
      </c>
      <c r="N471">
        <v>41</v>
      </c>
      <c r="O471" t="s">
        <v>61</v>
      </c>
      <c r="P471" t="s">
        <v>84</v>
      </c>
      <c r="Q471" s="1">
        <v>45214</v>
      </c>
      <c r="R471" s="1">
        <v>45200</v>
      </c>
      <c r="S471" t="s">
        <v>52</v>
      </c>
      <c r="T471" s="1">
        <v>45200</v>
      </c>
      <c r="U471">
        <v>2023</v>
      </c>
    </row>
    <row r="472" spans="1:21" x14ac:dyDescent="0.3">
      <c r="A472" t="s">
        <v>582</v>
      </c>
      <c r="B472" t="s">
        <v>72</v>
      </c>
      <c r="C472" t="s">
        <v>47</v>
      </c>
      <c r="D472" t="s">
        <v>97</v>
      </c>
      <c r="E472" s="1">
        <v>45175</v>
      </c>
      <c r="F472" t="s">
        <v>49</v>
      </c>
      <c r="G472" t="s">
        <v>81</v>
      </c>
      <c r="H472">
        <v>6</v>
      </c>
      <c r="I472">
        <v>19569</v>
      </c>
      <c r="J472">
        <v>117414</v>
      </c>
      <c r="K472">
        <v>49499</v>
      </c>
      <c r="L472">
        <v>19799</v>
      </c>
      <c r="M472">
        <v>48116</v>
      </c>
      <c r="N472">
        <v>10</v>
      </c>
      <c r="O472" t="s">
        <v>42</v>
      </c>
      <c r="P472" t="s">
        <v>43</v>
      </c>
      <c r="Q472" s="1">
        <v>45172</v>
      </c>
      <c r="R472" s="1">
        <v>45108</v>
      </c>
      <c r="S472" t="s">
        <v>104</v>
      </c>
      <c r="T472" s="1">
        <v>45170</v>
      </c>
      <c r="U472">
        <v>2023</v>
      </c>
    </row>
    <row r="473" spans="1:21" x14ac:dyDescent="0.3">
      <c r="A473" t="s">
        <v>583</v>
      </c>
      <c r="B473" t="s">
        <v>31</v>
      </c>
      <c r="C473" t="s">
        <v>23</v>
      </c>
      <c r="D473" t="s">
        <v>76</v>
      </c>
      <c r="E473" s="1">
        <v>45106</v>
      </c>
      <c r="F473" t="s">
        <v>57</v>
      </c>
      <c r="G473" t="s">
        <v>58</v>
      </c>
      <c r="H473">
        <v>8</v>
      </c>
      <c r="I473">
        <v>20639</v>
      </c>
      <c r="J473">
        <v>165112</v>
      </c>
      <c r="K473">
        <v>92428</v>
      </c>
      <c r="L473">
        <v>20638</v>
      </c>
      <c r="M473">
        <v>52046</v>
      </c>
      <c r="N473">
        <v>18</v>
      </c>
      <c r="O473" t="s">
        <v>34</v>
      </c>
      <c r="P473" t="s">
        <v>84</v>
      </c>
      <c r="Q473" s="1">
        <v>45102</v>
      </c>
      <c r="R473" s="1">
        <v>45017</v>
      </c>
      <c r="S473" t="s">
        <v>35</v>
      </c>
      <c r="T473" s="1">
        <v>45078</v>
      </c>
      <c r="U473">
        <v>2023</v>
      </c>
    </row>
    <row r="474" spans="1:21" x14ac:dyDescent="0.3">
      <c r="A474" t="s">
        <v>584</v>
      </c>
      <c r="B474" t="s">
        <v>46</v>
      </c>
      <c r="C474" t="s">
        <v>47</v>
      </c>
      <c r="D474" t="s">
        <v>97</v>
      </c>
      <c r="E474" s="1">
        <v>45178</v>
      </c>
      <c r="F474" t="s">
        <v>57</v>
      </c>
      <c r="G474" t="s">
        <v>33</v>
      </c>
      <c r="H474">
        <v>1</v>
      </c>
      <c r="I474">
        <v>20824</v>
      </c>
      <c r="J474">
        <v>20824</v>
      </c>
      <c r="K474">
        <v>9671</v>
      </c>
      <c r="L474">
        <v>3852</v>
      </c>
      <c r="M474">
        <v>7301</v>
      </c>
      <c r="N474">
        <v>29</v>
      </c>
      <c r="O474" t="s">
        <v>27</v>
      </c>
      <c r="P474" t="s">
        <v>67</v>
      </c>
      <c r="Q474" s="1">
        <v>45172</v>
      </c>
      <c r="R474" s="1">
        <v>45108</v>
      </c>
      <c r="S474" t="s">
        <v>104</v>
      </c>
      <c r="T474" s="1">
        <v>45170</v>
      </c>
      <c r="U474">
        <v>2023</v>
      </c>
    </row>
    <row r="475" spans="1:21" x14ac:dyDescent="0.3">
      <c r="A475" t="s">
        <v>585</v>
      </c>
      <c r="B475" t="s">
        <v>37</v>
      </c>
      <c r="C475" t="s">
        <v>38</v>
      </c>
      <c r="D475" t="s">
        <v>54</v>
      </c>
      <c r="E475" s="1">
        <v>44959</v>
      </c>
      <c r="F475" t="s">
        <v>25</v>
      </c>
      <c r="G475" t="s">
        <v>41</v>
      </c>
      <c r="H475">
        <v>10</v>
      </c>
      <c r="I475">
        <v>18354</v>
      </c>
      <c r="J475">
        <v>183540</v>
      </c>
      <c r="K475">
        <v>89285</v>
      </c>
      <c r="L475">
        <v>33598</v>
      </c>
      <c r="M475">
        <v>60657</v>
      </c>
      <c r="N475">
        <v>46</v>
      </c>
      <c r="O475" t="s">
        <v>42</v>
      </c>
      <c r="P475" t="s">
        <v>84</v>
      </c>
      <c r="Q475" s="1">
        <v>44955</v>
      </c>
      <c r="R475" s="1">
        <v>44927</v>
      </c>
      <c r="S475" t="s">
        <v>85</v>
      </c>
      <c r="T475" s="1">
        <v>44958</v>
      </c>
      <c r="U475">
        <v>2023</v>
      </c>
    </row>
    <row r="476" spans="1:21" x14ac:dyDescent="0.3">
      <c r="A476" t="s">
        <v>586</v>
      </c>
      <c r="B476" t="s">
        <v>37</v>
      </c>
      <c r="C476" t="s">
        <v>38</v>
      </c>
      <c r="D476" t="s">
        <v>111</v>
      </c>
      <c r="E476" s="1">
        <v>45045</v>
      </c>
      <c r="F476" t="s">
        <v>25</v>
      </c>
      <c r="G476" t="s">
        <v>41</v>
      </c>
      <c r="H476">
        <v>7</v>
      </c>
      <c r="I476">
        <v>52465</v>
      </c>
      <c r="J476">
        <v>367255</v>
      </c>
      <c r="K476">
        <v>118747</v>
      </c>
      <c r="L476">
        <v>54309</v>
      </c>
      <c r="M476">
        <v>194199</v>
      </c>
      <c r="N476">
        <v>12</v>
      </c>
      <c r="O476" t="s">
        <v>42</v>
      </c>
      <c r="P476" t="s">
        <v>67</v>
      </c>
      <c r="Q476" s="1">
        <v>45039</v>
      </c>
      <c r="R476" s="1">
        <v>45017</v>
      </c>
      <c r="S476" t="s">
        <v>74</v>
      </c>
      <c r="T476" s="1">
        <v>45017</v>
      </c>
      <c r="U476">
        <v>2023</v>
      </c>
    </row>
    <row r="477" spans="1:21" x14ac:dyDescent="0.3">
      <c r="A477" t="s">
        <v>587</v>
      </c>
      <c r="B477" t="s">
        <v>46</v>
      </c>
      <c r="C477" t="s">
        <v>47</v>
      </c>
      <c r="D477" t="s">
        <v>54</v>
      </c>
      <c r="E477" s="1">
        <v>44931</v>
      </c>
      <c r="F477" t="s">
        <v>40</v>
      </c>
      <c r="G477" t="s">
        <v>41</v>
      </c>
      <c r="H477">
        <v>5</v>
      </c>
      <c r="I477">
        <v>62792</v>
      </c>
      <c r="J477">
        <v>313960</v>
      </c>
      <c r="K477">
        <v>108226</v>
      </c>
      <c r="L477">
        <v>45320</v>
      </c>
      <c r="M477">
        <v>160414</v>
      </c>
      <c r="N477">
        <v>41</v>
      </c>
      <c r="O477" t="s">
        <v>42</v>
      </c>
      <c r="P477" t="s">
        <v>84</v>
      </c>
      <c r="Q477" s="1">
        <v>44927</v>
      </c>
      <c r="R477" s="1">
        <v>44927</v>
      </c>
      <c r="S477" t="s">
        <v>95</v>
      </c>
      <c r="T477" s="1">
        <v>44927</v>
      </c>
      <c r="U477">
        <v>2023</v>
      </c>
    </row>
    <row r="478" spans="1:21" x14ac:dyDescent="0.3">
      <c r="A478" t="s">
        <v>588</v>
      </c>
      <c r="B478" t="s">
        <v>22</v>
      </c>
      <c r="C478" t="s">
        <v>23</v>
      </c>
      <c r="D478" t="s">
        <v>174</v>
      </c>
      <c r="E478" s="1">
        <v>44988</v>
      </c>
      <c r="F478" t="s">
        <v>40</v>
      </c>
      <c r="G478" t="s">
        <v>98</v>
      </c>
      <c r="H478">
        <v>9</v>
      </c>
      <c r="I478">
        <v>7670</v>
      </c>
      <c r="J478">
        <v>69030</v>
      </c>
      <c r="K478">
        <v>21824</v>
      </c>
      <c r="L478">
        <v>13442</v>
      </c>
      <c r="M478">
        <v>33764</v>
      </c>
      <c r="N478">
        <v>25</v>
      </c>
      <c r="O478" t="s">
        <v>61</v>
      </c>
      <c r="P478" t="s">
        <v>99</v>
      </c>
      <c r="Q478" s="1">
        <v>44983</v>
      </c>
      <c r="R478" s="1">
        <v>44927</v>
      </c>
      <c r="S478" t="s">
        <v>44</v>
      </c>
      <c r="T478" s="1">
        <v>44986</v>
      </c>
      <c r="U478">
        <v>2023</v>
      </c>
    </row>
    <row r="479" spans="1:21" x14ac:dyDescent="0.3">
      <c r="A479" t="s">
        <v>589</v>
      </c>
      <c r="B479" t="s">
        <v>46</v>
      </c>
      <c r="C479" t="s">
        <v>47</v>
      </c>
      <c r="D479" t="s">
        <v>137</v>
      </c>
      <c r="E479" s="1">
        <v>45161</v>
      </c>
      <c r="F479" t="s">
        <v>49</v>
      </c>
      <c r="G479" t="s">
        <v>26</v>
      </c>
      <c r="H479">
        <v>4</v>
      </c>
      <c r="I479">
        <v>41577</v>
      </c>
      <c r="J479">
        <v>166308</v>
      </c>
      <c r="K479">
        <v>86616</v>
      </c>
      <c r="L479">
        <v>19513</v>
      </c>
      <c r="M479">
        <v>60179</v>
      </c>
      <c r="N479">
        <v>10</v>
      </c>
      <c r="O479" t="s">
        <v>27</v>
      </c>
      <c r="P479" t="s">
        <v>43</v>
      </c>
      <c r="Q479" s="1">
        <v>45158</v>
      </c>
      <c r="R479" s="1">
        <v>45108</v>
      </c>
      <c r="S479" t="s">
        <v>92</v>
      </c>
      <c r="T479" s="1">
        <v>45139</v>
      </c>
      <c r="U479">
        <v>2023</v>
      </c>
    </row>
    <row r="480" spans="1:21" x14ac:dyDescent="0.3">
      <c r="A480" t="s">
        <v>590</v>
      </c>
      <c r="B480" t="s">
        <v>46</v>
      </c>
      <c r="C480" t="s">
        <v>47</v>
      </c>
      <c r="D480" t="s">
        <v>119</v>
      </c>
      <c r="E480" s="1">
        <v>44994</v>
      </c>
      <c r="F480" t="s">
        <v>40</v>
      </c>
      <c r="G480" t="s">
        <v>41</v>
      </c>
      <c r="H480">
        <v>7</v>
      </c>
      <c r="I480">
        <v>11353</v>
      </c>
      <c r="J480">
        <v>79471</v>
      </c>
      <c r="K480">
        <v>24748</v>
      </c>
      <c r="L480">
        <v>13441</v>
      </c>
      <c r="M480">
        <v>41282</v>
      </c>
      <c r="N480">
        <v>26</v>
      </c>
      <c r="O480" t="s">
        <v>34</v>
      </c>
      <c r="P480" t="s">
        <v>84</v>
      </c>
      <c r="Q480" s="1">
        <v>44990</v>
      </c>
      <c r="R480" s="1">
        <v>44927</v>
      </c>
      <c r="S480" t="s">
        <v>44</v>
      </c>
      <c r="T480" s="1">
        <v>44986</v>
      </c>
      <c r="U480">
        <v>2023</v>
      </c>
    </row>
    <row r="481" spans="1:21" x14ac:dyDescent="0.3">
      <c r="A481" t="s">
        <v>591</v>
      </c>
      <c r="B481" t="s">
        <v>31</v>
      </c>
      <c r="C481" t="s">
        <v>23</v>
      </c>
      <c r="D481" t="s">
        <v>70</v>
      </c>
      <c r="E481" s="1">
        <v>45190</v>
      </c>
      <c r="F481" t="s">
        <v>25</v>
      </c>
      <c r="G481" t="s">
        <v>64</v>
      </c>
      <c r="H481">
        <v>2</v>
      </c>
      <c r="I481">
        <v>26219</v>
      </c>
      <c r="J481">
        <v>52438</v>
      </c>
      <c r="K481">
        <v>21563</v>
      </c>
      <c r="L481">
        <v>5270</v>
      </c>
      <c r="M481">
        <v>25605</v>
      </c>
      <c r="N481">
        <v>17</v>
      </c>
      <c r="O481" t="s">
        <v>50</v>
      </c>
      <c r="P481" t="s">
        <v>84</v>
      </c>
      <c r="Q481" s="1">
        <v>45186</v>
      </c>
      <c r="R481" s="1">
        <v>45108</v>
      </c>
      <c r="S481" t="s">
        <v>104</v>
      </c>
      <c r="T481" s="1">
        <v>45170</v>
      </c>
      <c r="U481">
        <v>2023</v>
      </c>
    </row>
    <row r="482" spans="1:21" x14ac:dyDescent="0.3">
      <c r="A482" t="s">
        <v>592</v>
      </c>
      <c r="B482" t="s">
        <v>22</v>
      </c>
      <c r="C482" t="s">
        <v>23</v>
      </c>
      <c r="D482" t="s">
        <v>145</v>
      </c>
      <c r="E482" s="1">
        <v>45012</v>
      </c>
      <c r="F482" t="s">
        <v>57</v>
      </c>
      <c r="G482" t="s">
        <v>81</v>
      </c>
      <c r="H482">
        <v>8</v>
      </c>
      <c r="I482">
        <v>59381</v>
      </c>
      <c r="J482">
        <v>475048</v>
      </c>
      <c r="K482">
        <v>179212</v>
      </c>
      <c r="L482">
        <v>82326</v>
      </c>
      <c r="M482">
        <v>213510</v>
      </c>
      <c r="N482">
        <v>43</v>
      </c>
      <c r="O482" t="s">
        <v>27</v>
      </c>
      <c r="P482" t="s">
        <v>51</v>
      </c>
      <c r="Q482" s="1">
        <v>45011</v>
      </c>
      <c r="R482" s="1">
        <v>44927</v>
      </c>
      <c r="S482" t="s">
        <v>44</v>
      </c>
      <c r="T482" s="1">
        <v>44986</v>
      </c>
      <c r="U482">
        <v>2023</v>
      </c>
    </row>
    <row r="483" spans="1:21" x14ac:dyDescent="0.3">
      <c r="A483" t="s">
        <v>593</v>
      </c>
      <c r="B483" t="s">
        <v>22</v>
      </c>
      <c r="C483" t="s">
        <v>23</v>
      </c>
      <c r="D483" t="s">
        <v>111</v>
      </c>
      <c r="E483" s="1">
        <v>44947</v>
      </c>
      <c r="F483" t="s">
        <v>57</v>
      </c>
      <c r="G483" t="s">
        <v>41</v>
      </c>
      <c r="H483">
        <v>5</v>
      </c>
      <c r="I483">
        <v>42902</v>
      </c>
      <c r="J483">
        <v>214510</v>
      </c>
      <c r="K483">
        <v>64404</v>
      </c>
      <c r="L483">
        <v>30141</v>
      </c>
      <c r="M483">
        <v>119965</v>
      </c>
      <c r="N483">
        <v>48</v>
      </c>
      <c r="O483" t="s">
        <v>50</v>
      </c>
      <c r="P483" t="s">
        <v>67</v>
      </c>
      <c r="Q483" s="1">
        <v>44941</v>
      </c>
      <c r="R483" s="1">
        <v>44927</v>
      </c>
      <c r="S483" t="s">
        <v>95</v>
      </c>
      <c r="T483" s="1">
        <v>44927</v>
      </c>
      <c r="U483">
        <v>2023</v>
      </c>
    </row>
    <row r="484" spans="1:21" x14ac:dyDescent="0.3">
      <c r="A484" t="s">
        <v>594</v>
      </c>
      <c r="B484" t="s">
        <v>46</v>
      </c>
      <c r="C484" t="s">
        <v>47</v>
      </c>
      <c r="D484" t="s">
        <v>89</v>
      </c>
      <c r="E484" s="1">
        <v>45241</v>
      </c>
      <c r="F484" t="s">
        <v>40</v>
      </c>
      <c r="G484" t="s">
        <v>98</v>
      </c>
      <c r="H484">
        <v>7</v>
      </c>
      <c r="I484">
        <v>3687</v>
      </c>
      <c r="J484">
        <v>25809</v>
      </c>
      <c r="K484">
        <v>8159</v>
      </c>
      <c r="L484">
        <v>4690</v>
      </c>
      <c r="M484">
        <v>12960</v>
      </c>
      <c r="N484">
        <v>9</v>
      </c>
      <c r="O484" t="s">
        <v>61</v>
      </c>
      <c r="P484" t="s">
        <v>67</v>
      </c>
      <c r="Q484" s="1">
        <v>45235</v>
      </c>
      <c r="R484" s="1">
        <v>45200</v>
      </c>
      <c r="S484" t="s">
        <v>138</v>
      </c>
      <c r="T484" s="1">
        <v>45231</v>
      </c>
      <c r="U484">
        <v>2023</v>
      </c>
    </row>
    <row r="485" spans="1:21" x14ac:dyDescent="0.3">
      <c r="A485" t="s">
        <v>595</v>
      </c>
      <c r="B485" t="s">
        <v>22</v>
      </c>
      <c r="C485" t="s">
        <v>23</v>
      </c>
      <c r="D485" t="s">
        <v>108</v>
      </c>
      <c r="E485" s="1">
        <v>45091</v>
      </c>
      <c r="F485" t="s">
        <v>57</v>
      </c>
      <c r="G485" t="s">
        <v>98</v>
      </c>
      <c r="H485">
        <v>1</v>
      </c>
      <c r="I485">
        <v>60040</v>
      </c>
      <c r="J485">
        <v>60040</v>
      </c>
      <c r="K485">
        <v>20930</v>
      </c>
      <c r="L485">
        <v>11912</v>
      </c>
      <c r="M485">
        <v>27198</v>
      </c>
      <c r="N485">
        <v>50</v>
      </c>
      <c r="O485" t="s">
        <v>42</v>
      </c>
      <c r="P485" t="s">
        <v>43</v>
      </c>
      <c r="Q485" s="1">
        <v>45088</v>
      </c>
      <c r="R485" s="1">
        <v>45017</v>
      </c>
      <c r="S485" t="s">
        <v>35</v>
      </c>
      <c r="T485" s="1">
        <v>45078</v>
      </c>
      <c r="U485">
        <v>2023</v>
      </c>
    </row>
    <row r="486" spans="1:21" x14ac:dyDescent="0.3">
      <c r="A486" t="s">
        <v>596</v>
      </c>
      <c r="B486" t="s">
        <v>72</v>
      </c>
      <c r="C486" t="s">
        <v>47</v>
      </c>
      <c r="D486" t="s">
        <v>145</v>
      </c>
      <c r="E486" s="1">
        <v>44967</v>
      </c>
      <c r="F486" t="s">
        <v>40</v>
      </c>
      <c r="G486" t="s">
        <v>41</v>
      </c>
      <c r="H486">
        <v>6</v>
      </c>
      <c r="I486">
        <v>52579</v>
      </c>
      <c r="J486">
        <v>315474</v>
      </c>
      <c r="K486">
        <v>175858</v>
      </c>
      <c r="L486">
        <v>62336</v>
      </c>
      <c r="M486">
        <v>77280</v>
      </c>
      <c r="N486">
        <v>7</v>
      </c>
      <c r="O486" t="s">
        <v>34</v>
      </c>
      <c r="P486" t="s">
        <v>99</v>
      </c>
      <c r="Q486" s="1">
        <v>44962</v>
      </c>
      <c r="R486" s="1">
        <v>44927</v>
      </c>
      <c r="S486" t="s">
        <v>85</v>
      </c>
      <c r="T486" s="1">
        <v>44958</v>
      </c>
      <c r="U486">
        <v>2023</v>
      </c>
    </row>
    <row r="487" spans="1:21" x14ac:dyDescent="0.3">
      <c r="A487" t="s">
        <v>597</v>
      </c>
      <c r="B487" t="s">
        <v>46</v>
      </c>
      <c r="C487" t="s">
        <v>47</v>
      </c>
      <c r="D487" t="s">
        <v>128</v>
      </c>
      <c r="E487" s="1">
        <v>44943</v>
      </c>
      <c r="F487" t="s">
        <v>57</v>
      </c>
      <c r="G487" t="s">
        <v>98</v>
      </c>
      <c r="H487">
        <v>8</v>
      </c>
      <c r="I487">
        <v>31483</v>
      </c>
      <c r="J487">
        <v>251864</v>
      </c>
      <c r="K487">
        <v>135655</v>
      </c>
      <c r="L487">
        <v>26629</v>
      </c>
      <c r="M487">
        <v>89580</v>
      </c>
      <c r="N487">
        <v>42</v>
      </c>
      <c r="O487" t="s">
        <v>61</v>
      </c>
      <c r="P487" t="s">
        <v>62</v>
      </c>
      <c r="Q487" s="1">
        <v>44941</v>
      </c>
      <c r="R487" s="1">
        <v>44927</v>
      </c>
      <c r="S487" t="s">
        <v>95</v>
      </c>
      <c r="T487" s="1">
        <v>44927</v>
      </c>
      <c r="U487">
        <v>2023</v>
      </c>
    </row>
    <row r="488" spans="1:21" x14ac:dyDescent="0.3">
      <c r="A488" t="s">
        <v>598</v>
      </c>
      <c r="B488" t="s">
        <v>72</v>
      </c>
      <c r="C488" t="s">
        <v>47</v>
      </c>
      <c r="D488" t="s">
        <v>135</v>
      </c>
      <c r="E488" s="1">
        <v>45003</v>
      </c>
      <c r="F488" t="s">
        <v>49</v>
      </c>
      <c r="G488" t="s">
        <v>26</v>
      </c>
      <c r="H488">
        <v>7</v>
      </c>
      <c r="I488">
        <v>56444</v>
      </c>
      <c r="J488">
        <v>395108</v>
      </c>
      <c r="K488">
        <v>157774</v>
      </c>
      <c r="L488">
        <v>74248</v>
      </c>
      <c r="M488">
        <v>163086</v>
      </c>
      <c r="N488">
        <v>49</v>
      </c>
      <c r="O488" t="s">
        <v>61</v>
      </c>
      <c r="P488" t="s">
        <v>67</v>
      </c>
      <c r="Q488" s="1">
        <v>44997</v>
      </c>
      <c r="R488" s="1">
        <v>44927</v>
      </c>
      <c r="S488" t="s">
        <v>44</v>
      </c>
      <c r="T488" s="1">
        <v>44986</v>
      </c>
      <c r="U488">
        <v>2023</v>
      </c>
    </row>
    <row r="489" spans="1:21" x14ac:dyDescent="0.3">
      <c r="A489" t="s">
        <v>599</v>
      </c>
      <c r="B489" t="s">
        <v>37</v>
      </c>
      <c r="C489" t="s">
        <v>38</v>
      </c>
      <c r="D489" t="s">
        <v>163</v>
      </c>
      <c r="E489" s="1">
        <v>45074</v>
      </c>
      <c r="F489" t="s">
        <v>40</v>
      </c>
      <c r="G489" t="s">
        <v>81</v>
      </c>
      <c r="H489">
        <v>9</v>
      </c>
      <c r="I489">
        <v>68509</v>
      </c>
      <c r="J489">
        <v>616581</v>
      </c>
      <c r="K489">
        <v>345090</v>
      </c>
      <c r="L489">
        <v>111842</v>
      </c>
      <c r="M489">
        <v>159649</v>
      </c>
      <c r="N489">
        <v>14</v>
      </c>
      <c r="O489" t="s">
        <v>27</v>
      </c>
      <c r="P489" t="s">
        <v>28</v>
      </c>
      <c r="Q489" s="1">
        <v>45074</v>
      </c>
      <c r="R489" s="1">
        <v>45017</v>
      </c>
      <c r="S489" t="s">
        <v>68</v>
      </c>
      <c r="T489" s="1">
        <v>45047</v>
      </c>
      <c r="U489">
        <v>2023</v>
      </c>
    </row>
    <row r="490" spans="1:21" x14ac:dyDescent="0.3">
      <c r="A490" t="s">
        <v>600</v>
      </c>
      <c r="B490" t="s">
        <v>46</v>
      </c>
      <c r="C490" t="s">
        <v>47</v>
      </c>
      <c r="D490" t="s">
        <v>135</v>
      </c>
      <c r="E490" s="1">
        <v>45039</v>
      </c>
      <c r="F490" t="s">
        <v>25</v>
      </c>
      <c r="G490" t="s">
        <v>26</v>
      </c>
      <c r="H490">
        <v>7</v>
      </c>
      <c r="I490">
        <v>18888</v>
      </c>
      <c r="J490">
        <v>132216</v>
      </c>
      <c r="K490">
        <v>65978</v>
      </c>
      <c r="L490">
        <v>23122</v>
      </c>
      <c r="M490">
        <v>43116</v>
      </c>
      <c r="N490">
        <v>49</v>
      </c>
      <c r="O490" t="s">
        <v>50</v>
      </c>
      <c r="P490" t="s">
        <v>28</v>
      </c>
      <c r="Q490" s="1">
        <v>45039</v>
      </c>
      <c r="R490" s="1">
        <v>45017</v>
      </c>
      <c r="S490" t="s">
        <v>74</v>
      </c>
      <c r="T490" s="1">
        <v>45017</v>
      </c>
      <c r="U490">
        <v>2023</v>
      </c>
    </row>
    <row r="491" spans="1:21" x14ac:dyDescent="0.3">
      <c r="A491" t="s">
        <v>601</v>
      </c>
      <c r="B491" t="s">
        <v>31</v>
      </c>
      <c r="C491" t="s">
        <v>23</v>
      </c>
      <c r="D491" t="s">
        <v>111</v>
      </c>
      <c r="E491" s="1">
        <v>45129</v>
      </c>
      <c r="F491" t="s">
        <v>25</v>
      </c>
      <c r="G491" t="s">
        <v>41</v>
      </c>
      <c r="H491">
        <v>8</v>
      </c>
      <c r="I491">
        <v>31819</v>
      </c>
      <c r="J491">
        <v>254552</v>
      </c>
      <c r="K491">
        <v>150164</v>
      </c>
      <c r="L491">
        <v>47967</v>
      </c>
      <c r="M491">
        <v>56421</v>
      </c>
      <c r="N491">
        <v>50</v>
      </c>
      <c r="O491" t="s">
        <v>50</v>
      </c>
      <c r="P491" t="s">
        <v>67</v>
      </c>
      <c r="Q491" s="1">
        <v>45123</v>
      </c>
      <c r="R491" s="1">
        <v>45108</v>
      </c>
      <c r="S491" t="s">
        <v>29</v>
      </c>
      <c r="T491" s="1">
        <v>45108</v>
      </c>
      <c r="U491">
        <v>2023</v>
      </c>
    </row>
    <row r="492" spans="1:21" x14ac:dyDescent="0.3">
      <c r="A492" t="s">
        <v>602</v>
      </c>
      <c r="B492" t="s">
        <v>46</v>
      </c>
      <c r="C492" t="s">
        <v>47</v>
      </c>
      <c r="D492" t="s">
        <v>32</v>
      </c>
      <c r="E492" s="1">
        <v>44932</v>
      </c>
      <c r="F492" t="s">
        <v>49</v>
      </c>
      <c r="G492" t="s">
        <v>81</v>
      </c>
      <c r="H492">
        <v>2</v>
      </c>
      <c r="I492">
        <v>29243</v>
      </c>
      <c r="J492">
        <v>58486</v>
      </c>
      <c r="K492">
        <v>34296</v>
      </c>
      <c r="L492">
        <v>8964</v>
      </c>
      <c r="M492">
        <v>15226</v>
      </c>
      <c r="N492">
        <v>37</v>
      </c>
      <c r="O492" t="s">
        <v>27</v>
      </c>
      <c r="P492" t="s">
        <v>99</v>
      </c>
      <c r="Q492" s="1">
        <v>44927</v>
      </c>
      <c r="R492" s="1">
        <v>44927</v>
      </c>
      <c r="S492" t="s">
        <v>95</v>
      </c>
      <c r="T492" s="1">
        <v>44927</v>
      </c>
      <c r="U492">
        <v>2023</v>
      </c>
    </row>
    <row r="493" spans="1:21" x14ac:dyDescent="0.3">
      <c r="A493" t="s">
        <v>603</v>
      </c>
      <c r="B493" t="s">
        <v>31</v>
      </c>
      <c r="C493" t="s">
        <v>23</v>
      </c>
      <c r="D493" t="s">
        <v>168</v>
      </c>
      <c r="E493" s="1">
        <v>45166</v>
      </c>
      <c r="F493" t="s">
        <v>25</v>
      </c>
      <c r="G493" t="s">
        <v>26</v>
      </c>
      <c r="H493">
        <v>2</v>
      </c>
      <c r="I493">
        <v>11279</v>
      </c>
      <c r="J493">
        <v>22558</v>
      </c>
      <c r="K493">
        <v>13316</v>
      </c>
      <c r="L493">
        <v>3270</v>
      </c>
      <c r="M493">
        <v>5972</v>
      </c>
      <c r="N493">
        <v>21</v>
      </c>
      <c r="O493" t="s">
        <v>42</v>
      </c>
      <c r="P493" t="s">
        <v>51</v>
      </c>
      <c r="Q493" s="1">
        <v>45165</v>
      </c>
      <c r="R493" s="1">
        <v>45108</v>
      </c>
      <c r="S493" t="s">
        <v>92</v>
      </c>
      <c r="T493" s="1">
        <v>45139</v>
      </c>
      <c r="U493">
        <v>2023</v>
      </c>
    </row>
    <row r="494" spans="1:21" x14ac:dyDescent="0.3">
      <c r="A494" t="s">
        <v>604</v>
      </c>
      <c r="B494" t="s">
        <v>46</v>
      </c>
      <c r="C494" t="s">
        <v>47</v>
      </c>
      <c r="D494" t="s">
        <v>56</v>
      </c>
      <c r="E494" s="1">
        <v>45009</v>
      </c>
      <c r="F494" t="s">
        <v>57</v>
      </c>
      <c r="G494" t="s">
        <v>33</v>
      </c>
      <c r="H494">
        <v>3</v>
      </c>
      <c r="I494">
        <v>13055</v>
      </c>
      <c r="J494">
        <v>39165</v>
      </c>
      <c r="K494">
        <v>21567</v>
      </c>
      <c r="L494">
        <v>6239</v>
      </c>
      <c r="M494">
        <v>11359</v>
      </c>
      <c r="N494">
        <v>21</v>
      </c>
      <c r="O494" t="s">
        <v>27</v>
      </c>
      <c r="P494" t="s">
        <v>99</v>
      </c>
      <c r="Q494" s="1">
        <v>45004</v>
      </c>
      <c r="R494" s="1">
        <v>44927</v>
      </c>
      <c r="S494" t="s">
        <v>44</v>
      </c>
      <c r="T494" s="1">
        <v>44986</v>
      </c>
      <c r="U494">
        <v>2023</v>
      </c>
    </row>
    <row r="495" spans="1:21" x14ac:dyDescent="0.3">
      <c r="A495" t="s">
        <v>605</v>
      </c>
      <c r="B495" t="s">
        <v>72</v>
      </c>
      <c r="C495" t="s">
        <v>47</v>
      </c>
      <c r="D495" t="s">
        <v>137</v>
      </c>
      <c r="E495" s="1">
        <v>45245</v>
      </c>
      <c r="F495" t="s">
        <v>25</v>
      </c>
      <c r="G495" t="s">
        <v>64</v>
      </c>
      <c r="H495">
        <v>10</v>
      </c>
      <c r="I495">
        <v>9173</v>
      </c>
      <c r="J495">
        <v>91730</v>
      </c>
      <c r="K495">
        <v>32412</v>
      </c>
      <c r="L495">
        <v>10915</v>
      </c>
      <c r="M495">
        <v>48403</v>
      </c>
      <c r="N495">
        <v>10</v>
      </c>
      <c r="O495" t="s">
        <v>61</v>
      </c>
      <c r="P495" t="s">
        <v>43</v>
      </c>
      <c r="Q495" s="1">
        <v>45242</v>
      </c>
      <c r="R495" s="1">
        <v>45200</v>
      </c>
      <c r="S495" t="s">
        <v>138</v>
      </c>
      <c r="T495" s="1">
        <v>45231</v>
      </c>
      <c r="U495">
        <v>2023</v>
      </c>
    </row>
    <row r="496" spans="1:21" x14ac:dyDescent="0.3">
      <c r="A496" t="s">
        <v>606</v>
      </c>
      <c r="B496" t="s">
        <v>46</v>
      </c>
      <c r="C496" t="s">
        <v>47</v>
      </c>
      <c r="D496" t="s">
        <v>87</v>
      </c>
      <c r="E496" s="1">
        <v>45078</v>
      </c>
      <c r="F496" t="s">
        <v>25</v>
      </c>
      <c r="G496" t="s">
        <v>98</v>
      </c>
      <c r="H496">
        <v>9</v>
      </c>
      <c r="I496">
        <v>30803</v>
      </c>
      <c r="J496">
        <v>277227</v>
      </c>
      <c r="K496">
        <v>109072</v>
      </c>
      <c r="L496">
        <v>29103</v>
      </c>
      <c r="M496">
        <v>139052</v>
      </c>
      <c r="N496">
        <v>6</v>
      </c>
      <c r="O496" t="s">
        <v>50</v>
      </c>
      <c r="P496" t="s">
        <v>84</v>
      </c>
      <c r="Q496" s="1">
        <v>45074</v>
      </c>
      <c r="R496" s="1">
        <v>45017</v>
      </c>
      <c r="S496" t="s">
        <v>35</v>
      </c>
      <c r="T496" s="1">
        <v>45078</v>
      </c>
      <c r="U496">
        <v>2023</v>
      </c>
    </row>
    <row r="497" spans="1:21" x14ac:dyDescent="0.3">
      <c r="A497" t="s">
        <v>607</v>
      </c>
      <c r="B497" t="s">
        <v>22</v>
      </c>
      <c r="C497" t="s">
        <v>23</v>
      </c>
      <c r="D497" t="s">
        <v>111</v>
      </c>
      <c r="E497" s="1">
        <v>45191</v>
      </c>
      <c r="F497" t="s">
        <v>49</v>
      </c>
      <c r="G497" t="s">
        <v>64</v>
      </c>
      <c r="H497">
        <v>2</v>
      </c>
      <c r="I497">
        <v>3955</v>
      </c>
      <c r="J497">
        <v>7910</v>
      </c>
      <c r="K497">
        <v>4573</v>
      </c>
      <c r="L497">
        <v>1325</v>
      </c>
      <c r="M497">
        <v>2012</v>
      </c>
      <c r="N497">
        <v>20</v>
      </c>
      <c r="O497" t="s">
        <v>34</v>
      </c>
      <c r="P497" t="s">
        <v>99</v>
      </c>
      <c r="Q497" s="1">
        <v>45186</v>
      </c>
      <c r="R497" s="1">
        <v>45108</v>
      </c>
      <c r="S497" t="s">
        <v>104</v>
      </c>
      <c r="T497" s="1">
        <v>45170</v>
      </c>
      <c r="U497">
        <v>2023</v>
      </c>
    </row>
    <row r="498" spans="1:21" x14ac:dyDescent="0.3">
      <c r="A498" t="s">
        <v>608</v>
      </c>
      <c r="B498" t="s">
        <v>31</v>
      </c>
      <c r="C498" t="s">
        <v>23</v>
      </c>
      <c r="D498" t="s">
        <v>190</v>
      </c>
      <c r="E498" s="1">
        <v>45229</v>
      </c>
      <c r="F498" t="s">
        <v>57</v>
      </c>
      <c r="G498" t="s">
        <v>41</v>
      </c>
      <c r="H498">
        <v>3</v>
      </c>
      <c r="I498">
        <v>13151</v>
      </c>
      <c r="J498">
        <v>39453</v>
      </c>
      <c r="K498">
        <v>23479</v>
      </c>
      <c r="L498">
        <v>5989</v>
      </c>
      <c r="M498">
        <v>9985</v>
      </c>
      <c r="N498">
        <v>28</v>
      </c>
      <c r="O498" t="s">
        <v>42</v>
      </c>
      <c r="P498" t="s">
        <v>51</v>
      </c>
      <c r="Q498" s="1">
        <v>45228</v>
      </c>
      <c r="R498" s="1">
        <v>45200</v>
      </c>
      <c r="S498" t="s">
        <v>52</v>
      </c>
      <c r="T498" s="1">
        <v>45200</v>
      </c>
      <c r="U498">
        <v>2023</v>
      </c>
    </row>
    <row r="499" spans="1:21" x14ac:dyDescent="0.3">
      <c r="A499" t="s">
        <v>609</v>
      </c>
      <c r="B499" t="s">
        <v>72</v>
      </c>
      <c r="C499" t="s">
        <v>47</v>
      </c>
      <c r="D499" t="s">
        <v>128</v>
      </c>
      <c r="E499" s="1">
        <v>45018</v>
      </c>
      <c r="F499" t="s">
        <v>40</v>
      </c>
      <c r="G499" t="s">
        <v>58</v>
      </c>
      <c r="H499">
        <v>10</v>
      </c>
      <c r="I499">
        <v>44204</v>
      </c>
      <c r="J499">
        <v>442040</v>
      </c>
      <c r="K499">
        <v>208318</v>
      </c>
      <c r="L499">
        <v>69236</v>
      </c>
      <c r="M499">
        <v>164486</v>
      </c>
      <c r="N499">
        <v>42</v>
      </c>
      <c r="O499" t="s">
        <v>61</v>
      </c>
      <c r="P499" t="s">
        <v>28</v>
      </c>
      <c r="Q499" s="1">
        <v>45018</v>
      </c>
      <c r="R499" s="1">
        <v>45017</v>
      </c>
      <c r="S499" t="s">
        <v>74</v>
      </c>
      <c r="T499" s="1">
        <v>45017</v>
      </c>
      <c r="U499">
        <v>2023</v>
      </c>
    </row>
    <row r="500" spans="1:21" x14ac:dyDescent="0.3">
      <c r="A500" t="s">
        <v>610</v>
      </c>
      <c r="B500" t="s">
        <v>31</v>
      </c>
      <c r="C500" t="s">
        <v>23</v>
      </c>
      <c r="D500" t="s">
        <v>83</v>
      </c>
      <c r="E500" s="1">
        <v>45006</v>
      </c>
      <c r="F500" t="s">
        <v>57</v>
      </c>
      <c r="G500" t="s">
        <v>81</v>
      </c>
      <c r="H500">
        <v>4</v>
      </c>
      <c r="I500">
        <v>54559</v>
      </c>
      <c r="J500">
        <v>218236</v>
      </c>
      <c r="K500">
        <v>130017</v>
      </c>
      <c r="L500">
        <v>31833</v>
      </c>
      <c r="M500">
        <v>56386</v>
      </c>
      <c r="N500">
        <v>20</v>
      </c>
      <c r="O500" t="s">
        <v>27</v>
      </c>
      <c r="P500" t="s">
        <v>62</v>
      </c>
      <c r="Q500" s="1">
        <v>45004</v>
      </c>
      <c r="R500" s="1">
        <v>44927</v>
      </c>
      <c r="S500" t="s">
        <v>44</v>
      </c>
      <c r="T500" s="1">
        <v>44986</v>
      </c>
      <c r="U500">
        <v>2023</v>
      </c>
    </row>
    <row r="501" spans="1:21" x14ac:dyDescent="0.3">
      <c r="A501" t="s">
        <v>611</v>
      </c>
      <c r="B501" t="s">
        <v>22</v>
      </c>
      <c r="C501" t="s">
        <v>23</v>
      </c>
      <c r="D501" t="s">
        <v>137</v>
      </c>
      <c r="E501" s="1">
        <v>45093</v>
      </c>
      <c r="F501" t="s">
        <v>25</v>
      </c>
      <c r="G501" t="s">
        <v>81</v>
      </c>
      <c r="H501">
        <v>7</v>
      </c>
      <c r="I501">
        <v>21114</v>
      </c>
      <c r="J501">
        <v>147798</v>
      </c>
      <c r="K501">
        <v>44938</v>
      </c>
      <c r="L501">
        <v>23757</v>
      </c>
      <c r="M501">
        <v>79103</v>
      </c>
      <c r="N501">
        <v>21</v>
      </c>
      <c r="O501" t="s">
        <v>42</v>
      </c>
      <c r="P501" t="s">
        <v>99</v>
      </c>
      <c r="Q501" s="1">
        <v>45088</v>
      </c>
      <c r="R501" s="1">
        <v>45017</v>
      </c>
      <c r="S501" t="s">
        <v>35</v>
      </c>
      <c r="T501" s="1">
        <v>45078</v>
      </c>
      <c r="U501">
        <v>2023</v>
      </c>
    </row>
    <row r="502" spans="1:21" x14ac:dyDescent="0.3">
      <c r="A502" t="s">
        <v>612</v>
      </c>
      <c r="B502" t="s">
        <v>72</v>
      </c>
      <c r="C502" t="s">
        <v>47</v>
      </c>
      <c r="D502" t="s">
        <v>117</v>
      </c>
      <c r="E502" s="1">
        <v>45030</v>
      </c>
      <c r="F502" t="s">
        <v>49</v>
      </c>
      <c r="G502" t="s">
        <v>81</v>
      </c>
      <c r="H502">
        <v>7</v>
      </c>
      <c r="I502">
        <v>55060</v>
      </c>
      <c r="J502">
        <v>385420</v>
      </c>
      <c r="K502">
        <v>142370</v>
      </c>
      <c r="L502">
        <v>68658</v>
      </c>
      <c r="M502">
        <v>174392</v>
      </c>
      <c r="N502">
        <v>31</v>
      </c>
      <c r="O502" t="s">
        <v>50</v>
      </c>
      <c r="P502" t="s">
        <v>99</v>
      </c>
      <c r="Q502" s="1">
        <v>45025</v>
      </c>
      <c r="R502" s="1">
        <v>45017</v>
      </c>
      <c r="S502" t="s">
        <v>74</v>
      </c>
      <c r="T502" s="1">
        <v>45017</v>
      </c>
      <c r="U502">
        <v>2023</v>
      </c>
    </row>
    <row r="503" spans="1:21" x14ac:dyDescent="0.3">
      <c r="A503" t="s">
        <v>613</v>
      </c>
      <c r="B503" t="s">
        <v>22</v>
      </c>
      <c r="C503" t="s">
        <v>23</v>
      </c>
      <c r="D503" t="s">
        <v>209</v>
      </c>
      <c r="E503" s="1">
        <v>45043</v>
      </c>
      <c r="F503" t="s">
        <v>49</v>
      </c>
      <c r="G503" t="s">
        <v>41</v>
      </c>
      <c r="H503">
        <v>4</v>
      </c>
      <c r="I503">
        <v>54286</v>
      </c>
      <c r="J503">
        <v>217144</v>
      </c>
      <c r="K503">
        <v>116405</v>
      </c>
      <c r="L503">
        <v>43228</v>
      </c>
      <c r="M503">
        <v>57511</v>
      </c>
      <c r="N503">
        <v>11</v>
      </c>
      <c r="O503" t="s">
        <v>34</v>
      </c>
      <c r="P503" t="s">
        <v>84</v>
      </c>
      <c r="Q503" s="1">
        <v>45039</v>
      </c>
      <c r="R503" s="1">
        <v>45017</v>
      </c>
      <c r="S503" t="s">
        <v>74</v>
      </c>
      <c r="T503" s="1">
        <v>45017</v>
      </c>
      <c r="U503">
        <v>2023</v>
      </c>
    </row>
    <row r="504" spans="1:21" x14ac:dyDescent="0.3">
      <c r="A504" t="s">
        <v>614</v>
      </c>
      <c r="B504" t="s">
        <v>31</v>
      </c>
      <c r="C504" t="s">
        <v>23</v>
      </c>
      <c r="D504" t="s">
        <v>66</v>
      </c>
      <c r="E504" s="1">
        <v>44950</v>
      </c>
      <c r="F504" t="s">
        <v>57</v>
      </c>
      <c r="G504" t="s">
        <v>81</v>
      </c>
      <c r="H504">
        <v>2</v>
      </c>
      <c r="I504">
        <v>31698</v>
      </c>
      <c r="J504">
        <v>63396</v>
      </c>
      <c r="K504">
        <v>34258</v>
      </c>
      <c r="L504">
        <v>12452</v>
      </c>
      <c r="M504">
        <v>16686</v>
      </c>
      <c r="N504">
        <v>0</v>
      </c>
      <c r="O504" t="s">
        <v>34</v>
      </c>
      <c r="P504" t="s">
        <v>62</v>
      </c>
      <c r="Q504" s="1">
        <v>44948</v>
      </c>
      <c r="R504" s="1">
        <v>44927</v>
      </c>
      <c r="S504" t="s">
        <v>95</v>
      </c>
      <c r="T504" s="1">
        <v>44927</v>
      </c>
      <c r="U504">
        <v>2023</v>
      </c>
    </row>
    <row r="505" spans="1:21" x14ac:dyDescent="0.3">
      <c r="A505" t="s">
        <v>615</v>
      </c>
      <c r="B505" t="s">
        <v>72</v>
      </c>
      <c r="C505" t="s">
        <v>47</v>
      </c>
      <c r="D505" t="s">
        <v>154</v>
      </c>
      <c r="E505" s="1">
        <v>45018</v>
      </c>
      <c r="F505" t="s">
        <v>25</v>
      </c>
      <c r="G505" t="s">
        <v>58</v>
      </c>
      <c r="H505">
        <v>6</v>
      </c>
      <c r="I505">
        <v>22248</v>
      </c>
      <c r="J505">
        <v>133488</v>
      </c>
      <c r="K505">
        <v>59801</v>
      </c>
      <c r="L505">
        <v>19812</v>
      </c>
      <c r="M505">
        <v>53875</v>
      </c>
      <c r="N505">
        <v>19</v>
      </c>
      <c r="O505" t="s">
        <v>50</v>
      </c>
      <c r="P505" t="s">
        <v>28</v>
      </c>
      <c r="Q505" s="1">
        <v>45018</v>
      </c>
      <c r="R505" s="1">
        <v>45017</v>
      </c>
      <c r="S505" t="s">
        <v>74</v>
      </c>
      <c r="T505" s="1">
        <v>45017</v>
      </c>
      <c r="U505">
        <v>2023</v>
      </c>
    </row>
    <row r="506" spans="1:21" x14ac:dyDescent="0.3">
      <c r="A506" t="s">
        <v>616</v>
      </c>
      <c r="B506" t="s">
        <v>22</v>
      </c>
      <c r="C506" t="s">
        <v>23</v>
      </c>
      <c r="D506" t="s">
        <v>73</v>
      </c>
      <c r="E506" s="1">
        <v>45013</v>
      </c>
      <c r="F506" t="s">
        <v>25</v>
      </c>
      <c r="G506" t="s">
        <v>98</v>
      </c>
      <c r="H506">
        <v>7</v>
      </c>
      <c r="I506">
        <v>46310</v>
      </c>
      <c r="J506">
        <v>324170</v>
      </c>
      <c r="K506">
        <v>129346</v>
      </c>
      <c r="L506">
        <v>53336</v>
      </c>
      <c r="M506">
        <v>141488</v>
      </c>
      <c r="N506">
        <v>34</v>
      </c>
      <c r="O506" t="s">
        <v>42</v>
      </c>
      <c r="P506" t="s">
        <v>62</v>
      </c>
      <c r="Q506" s="1">
        <v>45011</v>
      </c>
      <c r="R506" s="1">
        <v>44927</v>
      </c>
      <c r="S506" t="s">
        <v>44</v>
      </c>
      <c r="T506" s="1">
        <v>44986</v>
      </c>
      <c r="U506">
        <v>2023</v>
      </c>
    </row>
    <row r="507" spans="1:21" x14ac:dyDescent="0.3">
      <c r="A507" t="s">
        <v>617</v>
      </c>
      <c r="B507" t="s">
        <v>37</v>
      </c>
      <c r="C507" t="s">
        <v>38</v>
      </c>
      <c r="D507" t="s">
        <v>48</v>
      </c>
      <c r="E507" s="1">
        <v>45121</v>
      </c>
      <c r="F507" t="s">
        <v>57</v>
      </c>
      <c r="G507" t="s">
        <v>41</v>
      </c>
      <c r="H507">
        <v>8</v>
      </c>
      <c r="I507">
        <v>10170</v>
      </c>
      <c r="J507">
        <v>81360</v>
      </c>
      <c r="K507">
        <v>47234</v>
      </c>
      <c r="L507">
        <v>15492</v>
      </c>
      <c r="M507">
        <v>18634</v>
      </c>
      <c r="N507">
        <v>29</v>
      </c>
      <c r="O507" t="s">
        <v>27</v>
      </c>
      <c r="P507" t="s">
        <v>99</v>
      </c>
      <c r="Q507" s="1">
        <v>45116</v>
      </c>
      <c r="R507" s="1">
        <v>45108</v>
      </c>
      <c r="S507" t="s">
        <v>29</v>
      </c>
      <c r="T507" s="1">
        <v>45108</v>
      </c>
      <c r="U507">
        <v>2023</v>
      </c>
    </row>
    <row r="508" spans="1:21" x14ac:dyDescent="0.3">
      <c r="A508" t="s">
        <v>618</v>
      </c>
      <c r="B508" t="s">
        <v>22</v>
      </c>
      <c r="C508" t="s">
        <v>23</v>
      </c>
      <c r="D508" t="s">
        <v>78</v>
      </c>
      <c r="E508" s="1">
        <v>44953</v>
      </c>
      <c r="F508" t="s">
        <v>25</v>
      </c>
      <c r="G508" t="s">
        <v>98</v>
      </c>
      <c r="H508">
        <v>7</v>
      </c>
      <c r="I508">
        <v>2811</v>
      </c>
      <c r="J508">
        <v>19677</v>
      </c>
      <c r="K508">
        <v>6324</v>
      </c>
      <c r="L508">
        <v>2132</v>
      </c>
      <c r="M508">
        <v>11221</v>
      </c>
      <c r="N508">
        <v>11</v>
      </c>
      <c r="O508" t="s">
        <v>42</v>
      </c>
      <c r="P508" t="s">
        <v>99</v>
      </c>
      <c r="Q508" s="1">
        <v>44948</v>
      </c>
      <c r="R508" s="1">
        <v>44927</v>
      </c>
      <c r="S508" t="s">
        <v>95</v>
      </c>
      <c r="T508" s="1">
        <v>44927</v>
      </c>
      <c r="U508">
        <v>2023</v>
      </c>
    </row>
    <row r="509" spans="1:21" x14ac:dyDescent="0.3">
      <c r="A509" t="s">
        <v>619</v>
      </c>
      <c r="B509" t="s">
        <v>22</v>
      </c>
      <c r="C509" t="s">
        <v>23</v>
      </c>
      <c r="D509" t="s">
        <v>196</v>
      </c>
      <c r="E509" s="1">
        <v>45032</v>
      </c>
      <c r="F509" t="s">
        <v>40</v>
      </c>
      <c r="G509" t="s">
        <v>33</v>
      </c>
      <c r="H509">
        <v>9</v>
      </c>
      <c r="I509">
        <v>16433</v>
      </c>
      <c r="J509">
        <v>147897</v>
      </c>
      <c r="K509">
        <v>52112</v>
      </c>
      <c r="L509">
        <v>25601</v>
      </c>
      <c r="M509">
        <v>70184</v>
      </c>
      <c r="N509">
        <v>27</v>
      </c>
      <c r="O509" t="s">
        <v>61</v>
      </c>
      <c r="P509" t="s">
        <v>28</v>
      </c>
      <c r="Q509" s="1">
        <v>45032</v>
      </c>
      <c r="R509" s="1">
        <v>45017</v>
      </c>
      <c r="S509" t="s">
        <v>74</v>
      </c>
      <c r="T509" s="1">
        <v>45017</v>
      </c>
      <c r="U509">
        <v>2023</v>
      </c>
    </row>
    <row r="510" spans="1:21" x14ac:dyDescent="0.3">
      <c r="A510" t="s">
        <v>620</v>
      </c>
      <c r="B510" t="s">
        <v>22</v>
      </c>
      <c r="C510" t="s">
        <v>23</v>
      </c>
      <c r="D510" t="s">
        <v>125</v>
      </c>
      <c r="E510" s="1">
        <v>45026</v>
      </c>
      <c r="F510" t="s">
        <v>25</v>
      </c>
      <c r="G510" t="s">
        <v>81</v>
      </c>
      <c r="H510">
        <v>10</v>
      </c>
      <c r="I510">
        <v>14345</v>
      </c>
      <c r="J510">
        <v>143450</v>
      </c>
      <c r="K510">
        <v>77944</v>
      </c>
      <c r="L510">
        <v>18219</v>
      </c>
      <c r="M510">
        <v>47287</v>
      </c>
      <c r="N510">
        <v>1</v>
      </c>
      <c r="O510" t="s">
        <v>61</v>
      </c>
      <c r="P510" t="s">
        <v>51</v>
      </c>
      <c r="Q510" s="1">
        <v>45025</v>
      </c>
      <c r="R510" s="1">
        <v>45017</v>
      </c>
      <c r="S510" t="s">
        <v>74</v>
      </c>
      <c r="T510" s="1">
        <v>45017</v>
      </c>
      <c r="U510">
        <v>2023</v>
      </c>
    </row>
    <row r="511" spans="1:21" x14ac:dyDescent="0.3">
      <c r="A511" t="s">
        <v>621</v>
      </c>
      <c r="B511" t="s">
        <v>72</v>
      </c>
      <c r="C511" t="s">
        <v>47</v>
      </c>
      <c r="D511" t="s">
        <v>60</v>
      </c>
      <c r="E511" s="1">
        <v>45088</v>
      </c>
      <c r="F511" t="s">
        <v>57</v>
      </c>
      <c r="G511" t="s">
        <v>81</v>
      </c>
      <c r="H511">
        <v>4</v>
      </c>
      <c r="I511">
        <v>45419</v>
      </c>
      <c r="J511">
        <v>181676</v>
      </c>
      <c r="K511">
        <v>103072</v>
      </c>
      <c r="L511">
        <v>20080</v>
      </c>
      <c r="M511">
        <v>58524</v>
      </c>
      <c r="N511">
        <v>8</v>
      </c>
      <c r="O511" t="s">
        <v>61</v>
      </c>
      <c r="P511" t="s">
        <v>28</v>
      </c>
      <c r="Q511" s="1">
        <v>45088</v>
      </c>
      <c r="R511" s="1">
        <v>45017</v>
      </c>
      <c r="S511" t="s">
        <v>35</v>
      </c>
      <c r="T511" s="1">
        <v>45078</v>
      </c>
      <c r="U511">
        <v>2023</v>
      </c>
    </row>
    <row r="512" spans="1:21" x14ac:dyDescent="0.3">
      <c r="A512" t="s">
        <v>622</v>
      </c>
      <c r="B512" t="s">
        <v>46</v>
      </c>
      <c r="C512" t="s">
        <v>47</v>
      </c>
      <c r="D512" t="s">
        <v>205</v>
      </c>
      <c r="E512" s="1">
        <v>45229</v>
      </c>
      <c r="F512" t="s">
        <v>57</v>
      </c>
      <c r="G512" t="s">
        <v>26</v>
      </c>
      <c r="H512">
        <v>3</v>
      </c>
      <c r="I512">
        <v>64403</v>
      </c>
      <c r="J512">
        <v>193209</v>
      </c>
      <c r="K512">
        <v>83436</v>
      </c>
      <c r="L512">
        <v>20389</v>
      </c>
      <c r="M512">
        <v>89384</v>
      </c>
      <c r="N512">
        <v>45</v>
      </c>
      <c r="O512" t="s">
        <v>42</v>
      </c>
      <c r="P512" t="s">
        <v>51</v>
      </c>
      <c r="Q512" s="1">
        <v>45228</v>
      </c>
      <c r="R512" s="1">
        <v>45200</v>
      </c>
      <c r="S512" t="s">
        <v>52</v>
      </c>
      <c r="T512" s="1">
        <v>45200</v>
      </c>
      <c r="U512">
        <v>2023</v>
      </c>
    </row>
    <row r="513" spans="1:21" x14ac:dyDescent="0.3">
      <c r="A513" t="s">
        <v>623</v>
      </c>
      <c r="B513" t="s">
        <v>22</v>
      </c>
      <c r="C513" t="s">
        <v>23</v>
      </c>
      <c r="D513" t="s">
        <v>205</v>
      </c>
      <c r="E513" s="1">
        <v>45212</v>
      </c>
      <c r="F513" t="s">
        <v>57</v>
      </c>
      <c r="G513" t="s">
        <v>33</v>
      </c>
      <c r="H513">
        <v>4</v>
      </c>
      <c r="I513">
        <v>44861</v>
      </c>
      <c r="J513">
        <v>179444</v>
      </c>
      <c r="K513">
        <v>83212</v>
      </c>
      <c r="L513">
        <v>33733</v>
      </c>
      <c r="M513">
        <v>62499</v>
      </c>
      <c r="N513">
        <v>30</v>
      </c>
      <c r="O513" t="s">
        <v>61</v>
      </c>
      <c r="P513" t="s">
        <v>99</v>
      </c>
      <c r="Q513" s="1">
        <v>45207</v>
      </c>
      <c r="R513" s="1">
        <v>45200</v>
      </c>
      <c r="S513" t="s">
        <v>52</v>
      </c>
      <c r="T513" s="1">
        <v>45200</v>
      </c>
      <c r="U513">
        <v>2023</v>
      </c>
    </row>
    <row r="514" spans="1:21" x14ac:dyDescent="0.3">
      <c r="A514" t="s">
        <v>624</v>
      </c>
      <c r="B514" t="s">
        <v>46</v>
      </c>
      <c r="C514" t="s">
        <v>47</v>
      </c>
      <c r="D514" t="s">
        <v>89</v>
      </c>
      <c r="E514" s="1">
        <v>45111</v>
      </c>
      <c r="F514" t="s">
        <v>49</v>
      </c>
      <c r="G514" t="s">
        <v>58</v>
      </c>
      <c r="H514">
        <v>3</v>
      </c>
      <c r="I514">
        <v>32514</v>
      </c>
      <c r="J514">
        <v>97542</v>
      </c>
      <c r="K514">
        <v>51257</v>
      </c>
      <c r="L514">
        <v>17014</v>
      </c>
      <c r="M514">
        <v>29271</v>
      </c>
      <c r="N514">
        <v>48</v>
      </c>
      <c r="O514" t="s">
        <v>61</v>
      </c>
      <c r="P514" t="s">
        <v>62</v>
      </c>
      <c r="Q514" s="1">
        <v>45109</v>
      </c>
      <c r="R514" s="1">
        <v>45108</v>
      </c>
      <c r="S514" t="s">
        <v>29</v>
      </c>
      <c r="T514" s="1">
        <v>45108</v>
      </c>
      <c r="U514">
        <v>2023</v>
      </c>
    </row>
    <row r="515" spans="1:21" x14ac:dyDescent="0.3">
      <c r="A515" t="s">
        <v>625</v>
      </c>
      <c r="B515" t="s">
        <v>31</v>
      </c>
      <c r="C515" t="s">
        <v>23</v>
      </c>
      <c r="D515" t="s">
        <v>152</v>
      </c>
      <c r="E515" s="1">
        <v>45007</v>
      </c>
      <c r="F515" t="s">
        <v>49</v>
      </c>
      <c r="G515" t="s">
        <v>26</v>
      </c>
      <c r="H515">
        <v>1</v>
      </c>
      <c r="I515">
        <v>46506</v>
      </c>
      <c r="J515">
        <v>46506</v>
      </c>
      <c r="K515">
        <v>27610</v>
      </c>
      <c r="L515">
        <v>8103</v>
      </c>
      <c r="M515">
        <v>10793</v>
      </c>
      <c r="N515">
        <v>3</v>
      </c>
      <c r="O515" t="s">
        <v>50</v>
      </c>
      <c r="P515" t="s">
        <v>43</v>
      </c>
      <c r="Q515" s="1">
        <v>45004</v>
      </c>
      <c r="R515" s="1">
        <v>44927</v>
      </c>
      <c r="S515" t="s">
        <v>44</v>
      </c>
      <c r="T515" s="1">
        <v>44986</v>
      </c>
      <c r="U515">
        <v>2023</v>
      </c>
    </row>
    <row r="516" spans="1:21" x14ac:dyDescent="0.3">
      <c r="A516" t="s">
        <v>626</v>
      </c>
      <c r="B516" t="s">
        <v>46</v>
      </c>
      <c r="C516" t="s">
        <v>47</v>
      </c>
      <c r="D516" t="s">
        <v>119</v>
      </c>
      <c r="E516" s="1">
        <v>45027</v>
      </c>
      <c r="F516" t="s">
        <v>49</v>
      </c>
      <c r="G516" t="s">
        <v>81</v>
      </c>
      <c r="H516">
        <v>2</v>
      </c>
      <c r="I516">
        <v>5863</v>
      </c>
      <c r="J516">
        <v>11726</v>
      </c>
      <c r="K516">
        <v>5149</v>
      </c>
      <c r="L516">
        <v>1498</v>
      </c>
      <c r="M516">
        <v>5079</v>
      </c>
      <c r="N516">
        <v>14</v>
      </c>
      <c r="O516" t="s">
        <v>42</v>
      </c>
      <c r="P516" t="s">
        <v>62</v>
      </c>
      <c r="Q516" s="1">
        <v>45025</v>
      </c>
      <c r="R516" s="1">
        <v>45017</v>
      </c>
      <c r="S516" t="s">
        <v>74</v>
      </c>
      <c r="T516" s="1">
        <v>45017</v>
      </c>
      <c r="U516">
        <v>2023</v>
      </c>
    </row>
    <row r="517" spans="1:21" x14ac:dyDescent="0.3">
      <c r="A517" t="s">
        <v>627</v>
      </c>
      <c r="B517" t="s">
        <v>46</v>
      </c>
      <c r="C517" t="s">
        <v>47</v>
      </c>
      <c r="D517" t="s">
        <v>78</v>
      </c>
      <c r="E517" s="1">
        <v>45030</v>
      </c>
      <c r="F517" t="s">
        <v>25</v>
      </c>
      <c r="G517" t="s">
        <v>58</v>
      </c>
      <c r="H517">
        <v>1</v>
      </c>
      <c r="I517">
        <v>45003</v>
      </c>
      <c r="J517">
        <v>45003</v>
      </c>
      <c r="K517">
        <v>17999</v>
      </c>
      <c r="L517">
        <v>6045</v>
      </c>
      <c r="M517">
        <v>20959</v>
      </c>
      <c r="N517">
        <v>37</v>
      </c>
      <c r="O517" t="s">
        <v>42</v>
      </c>
      <c r="P517" t="s">
        <v>99</v>
      </c>
      <c r="Q517" s="1">
        <v>45025</v>
      </c>
      <c r="R517" s="1">
        <v>45017</v>
      </c>
      <c r="S517" t="s">
        <v>74</v>
      </c>
      <c r="T517" s="1">
        <v>45017</v>
      </c>
      <c r="U517">
        <v>2023</v>
      </c>
    </row>
    <row r="518" spans="1:21" x14ac:dyDescent="0.3">
      <c r="A518" t="s">
        <v>628</v>
      </c>
      <c r="B518" t="s">
        <v>72</v>
      </c>
      <c r="C518" t="s">
        <v>47</v>
      </c>
      <c r="D518" t="s">
        <v>106</v>
      </c>
      <c r="E518" s="1">
        <v>45218</v>
      </c>
      <c r="F518" t="s">
        <v>40</v>
      </c>
      <c r="G518" t="s">
        <v>33</v>
      </c>
      <c r="H518">
        <v>10</v>
      </c>
      <c r="I518">
        <v>24413</v>
      </c>
      <c r="J518">
        <v>244130</v>
      </c>
      <c r="K518">
        <v>111604</v>
      </c>
      <c r="L518">
        <v>24707</v>
      </c>
      <c r="M518">
        <v>107819</v>
      </c>
      <c r="N518">
        <v>27</v>
      </c>
      <c r="O518" t="s">
        <v>61</v>
      </c>
      <c r="P518" t="s">
        <v>84</v>
      </c>
      <c r="Q518" s="1">
        <v>45214</v>
      </c>
      <c r="R518" s="1">
        <v>45200</v>
      </c>
      <c r="S518" t="s">
        <v>52</v>
      </c>
      <c r="T518" s="1">
        <v>45200</v>
      </c>
      <c r="U518">
        <v>2023</v>
      </c>
    </row>
    <row r="519" spans="1:21" x14ac:dyDescent="0.3">
      <c r="A519" t="s">
        <v>629</v>
      </c>
      <c r="B519" t="s">
        <v>72</v>
      </c>
      <c r="C519" t="s">
        <v>47</v>
      </c>
      <c r="D519" t="s">
        <v>163</v>
      </c>
      <c r="E519" s="1">
        <v>45107</v>
      </c>
      <c r="F519" t="s">
        <v>49</v>
      </c>
      <c r="G519" t="s">
        <v>81</v>
      </c>
      <c r="H519">
        <v>3</v>
      </c>
      <c r="I519">
        <v>19153</v>
      </c>
      <c r="J519">
        <v>57459</v>
      </c>
      <c r="K519">
        <v>31239</v>
      </c>
      <c r="L519">
        <v>8391</v>
      </c>
      <c r="M519">
        <v>17829</v>
      </c>
      <c r="N519">
        <v>43</v>
      </c>
      <c r="O519" t="s">
        <v>50</v>
      </c>
      <c r="P519" t="s">
        <v>99</v>
      </c>
      <c r="Q519" s="1">
        <v>45102</v>
      </c>
      <c r="R519" s="1">
        <v>45017</v>
      </c>
      <c r="S519" t="s">
        <v>35</v>
      </c>
      <c r="T519" s="1">
        <v>45078</v>
      </c>
      <c r="U519">
        <v>2023</v>
      </c>
    </row>
    <row r="520" spans="1:21" x14ac:dyDescent="0.3">
      <c r="A520" t="s">
        <v>630</v>
      </c>
      <c r="B520" t="s">
        <v>22</v>
      </c>
      <c r="C520" t="s">
        <v>23</v>
      </c>
      <c r="D520" t="s">
        <v>108</v>
      </c>
      <c r="E520" s="1">
        <v>45184</v>
      </c>
      <c r="F520" t="s">
        <v>49</v>
      </c>
      <c r="G520" t="s">
        <v>41</v>
      </c>
      <c r="H520">
        <v>2</v>
      </c>
      <c r="I520">
        <v>35537</v>
      </c>
      <c r="J520">
        <v>71074</v>
      </c>
      <c r="K520">
        <v>22367</v>
      </c>
      <c r="L520">
        <v>13182</v>
      </c>
      <c r="M520">
        <v>35525</v>
      </c>
      <c r="N520">
        <v>37</v>
      </c>
      <c r="O520" t="s">
        <v>50</v>
      </c>
      <c r="P520" t="s">
        <v>99</v>
      </c>
      <c r="Q520" s="1">
        <v>45179</v>
      </c>
      <c r="R520" s="1">
        <v>45108</v>
      </c>
      <c r="S520" t="s">
        <v>104</v>
      </c>
      <c r="T520" s="1">
        <v>45170</v>
      </c>
      <c r="U520">
        <v>2023</v>
      </c>
    </row>
    <row r="521" spans="1:21" x14ac:dyDescent="0.3">
      <c r="A521" t="s">
        <v>631</v>
      </c>
      <c r="B521" t="s">
        <v>22</v>
      </c>
      <c r="C521" t="s">
        <v>23</v>
      </c>
      <c r="D521" t="s">
        <v>39</v>
      </c>
      <c r="E521" s="1">
        <v>45221</v>
      </c>
      <c r="F521" t="s">
        <v>25</v>
      </c>
      <c r="G521" t="s">
        <v>98</v>
      </c>
      <c r="H521">
        <v>7</v>
      </c>
      <c r="I521">
        <v>46386</v>
      </c>
      <c r="J521">
        <v>324702</v>
      </c>
      <c r="K521">
        <v>146899</v>
      </c>
      <c r="L521">
        <v>45035</v>
      </c>
      <c r="M521">
        <v>132768</v>
      </c>
      <c r="N521">
        <v>8</v>
      </c>
      <c r="O521" t="s">
        <v>50</v>
      </c>
      <c r="P521" t="s">
        <v>28</v>
      </c>
      <c r="Q521" s="1">
        <v>45221</v>
      </c>
      <c r="R521" s="1">
        <v>45200</v>
      </c>
      <c r="S521" t="s">
        <v>52</v>
      </c>
      <c r="T521" s="1">
        <v>45200</v>
      </c>
      <c r="U521">
        <v>2023</v>
      </c>
    </row>
    <row r="522" spans="1:21" x14ac:dyDescent="0.3">
      <c r="A522" t="s">
        <v>632</v>
      </c>
      <c r="B522" t="s">
        <v>37</v>
      </c>
      <c r="C522" t="s">
        <v>38</v>
      </c>
      <c r="D522" t="s">
        <v>91</v>
      </c>
      <c r="E522" s="1">
        <v>45194</v>
      </c>
      <c r="F522" t="s">
        <v>49</v>
      </c>
      <c r="G522" t="s">
        <v>26</v>
      </c>
      <c r="H522">
        <v>2</v>
      </c>
      <c r="I522">
        <v>57392</v>
      </c>
      <c r="J522">
        <v>114784</v>
      </c>
      <c r="K522">
        <v>51059</v>
      </c>
      <c r="L522">
        <v>12627</v>
      </c>
      <c r="M522">
        <v>51098</v>
      </c>
      <c r="N522">
        <v>37</v>
      </c>
      <c r="O522" t="s">
        <v>27</v>
      </c>
      <c r="P522" t="s">
        <v>51</v>
      </c>
      <c r="Q522" s="1">
        <v>45193</v>
      </c>
      <c r="R522" s="1">
        <v>45108</v>
      </c>
      <c r="S522" t="s">
        <v>104</v>
      </c>
      <c r="T522" s="1">
        <v>45170</v>
      </c>
      <c r="U522">
        <v>2023</v>
      </c>
    </row>
    <row r="523" spans="1:21" x14ac:dyDescent="0.3">
      <c r="A523" t="s">
        <v>633</v>
      </c>
      <c r="B523" t="s">
        <v>31</v>
      </c>
      <c r="C523" t="s">
        <v>23</v>
      </c>
      <c r="D523" t="s">
        <v>117</v>
      </c>
      <c r="E523" s="1">
        <v>45167</v>
      </c>
      <c r="F523" t="s">
        <v>57</v>
      </c>
      <c r="G523" t="s">
        <v>58</v>
      </c>
      <c r="H523">
        <v>3</v>
      </c>
      <c r="I523">
        <v>68274</v>
      </c>
      <c r="J523">
        <v>204822</v>
      </c>
      <c r="K523">
        <v>85394</v>
      </c>
      <c r="L523">
        <v>23203</v>
      </c>
      <c r="M523">
        <v>96225</v>
      </c>
      <c r="N523">
        <v>31</v>
      </c>
      <c r="O523" t="s">
        <v>27</v>
      </c>
      <c r="P523" t="s">
        <v>62</v>
      </c>
      <c r="Q523" s="1">
        <v>45165</v>
      </c>
      <c r="R523" s="1">
        <v>45108</v>
      </c>
      <c r="S523" t="s">
        <v>92</v>
      </c>
      <c r="T523" s="1">
        <v>45139</v>
      </c>
      <c r="U523">
        <v>2023</v>
      </c>
    </row>
    <row r="524" spans="1:21" x14ac:dyDescent="0.3">
      <c r="A524" t="s">
        <v>634</v>
      </c>
      <c r="B524" t="s">
        <v>37</v>
      </c>
      <c r="C524" t="s">
        <v>38</v>
      </c>
      <c r="D524" t="s">
        <v>119</v>
      </c>
      <c r="E524" s="1">
        <v>45101</v>
      </c>
      <c r="F524" t="s">
        <v>40</v>
      </c>
      <c r="G524" t="s">
        <v>58</v>
      </c>
      <c r="H524">
        <v>10</v>
      </c>
      <c r="I524">
        <v>7100</v>
      </c>
      <c r="J524">
        <v>71000</v>
      </c>
      <c r="K524">
        <v>39604</v>
      </c>
      <c r="L524">
        <v>12033</v>
      </c>
      <c r="M524">
        <v>19363</v>
      </c>
      <c r="N524">
        <v>5</v>
      </c>
      <c r="O524" t="s">
        <v>27</v>
      </c>
      <c r="P524" t="s">
        <v>67</v>
      </c>
      <c r="Q524" s="1">
        <v>45095</v>
      </c>
      <c r="R524" s="1">
        <v>45017</v>
      </c>
      <c r="S524" t="s">
        <v>35</v>
      </c>
      <c r="T524" s="1">
        <v>45078</v>
      </c>
      <c r="U524">
        <v>2023</v>
      </c>
    </row>
    <row r="525" spans="1:21" x14ac:dyDescent="0.3">
      <c r="A525" t="s">
        <v>635</v>
      </c>
      <c r="B525" t="s">
        <v>37</v>
      </c>
      <c r="C525" t="s">
        <v>38</v>
      </c>
      <c r="D525" t="s">
        <v>152</v>
      </c>
      <c r="E525" s="1">
        <v>45042</v>
      </c>
      <c r="F525" t="s">
        <v>40</v>
      </c>
      <c r="G525" t="s">
        <v>41</v>
      </c>
      <c r="H525">
        <v>3</v>
      </c>
      <c r="I525">
        <v>44643</v>
      </c>
      <c r="J525">
        <v>133929</v>
      </c>
      <c r="K525">
        <v>68290</v>
      </c>
      <c r="L525">
        <v>20383</v>
      </c>
      <c r="M525">
        <v>45256</v>
      </c>
      <c r="N525">
        <v>0</v>
      </c>
      <c r="O525" t="s">
        <v>42</v>
      </c>
      <c r="P525" t="s">
        <v>43</v>
      </c>
      <c r="Q525" s="1">
        <v>45039</v>
      </c>
      <c r="R525" s="1">
        <v>45017</v>
      </c>
      <c r="S525" t="s">
        <v>74</v>
      </c>
      <c r="T525" s="1">
        <v>45017</v>
      </c>
      <c r="U525">
        <v>2023</v>
      </c>
    </row>
    <row r="526" spans="1:21" x14ac:dyDescent="0.3">
      <c r="A526" t="s">
        <v>636</v>
      </c>
      <c r="B526" t="s">
        <v>22</v>
      </c>
      <c r="C526" t="s">
        <v>23</v>
      </c>
      <c r="D526" t="s">
        <v>219</v>
      </c>
      <c r="E526" s="1">
        <v>45212</v>
      </c>
      <c r="F526" t="s">
        <v>40</v>
      </c>
      <c r="G526" t="s">
        <v>81</v>
      </c>
      <c r="H526">
        <v>8</v>
      </c>
      <c r="I526">
        <v>24519</v>
      </c>
      <c r="J526">
        <v>196152</v>
      </c>
      <c r="K526">
        <v>87189</v>
      </c>
      <c r="L526">
        <v>34951</v>
      </c>
      <c r="M526">
        <v>74012</v>
      </c>
      <c r="N526">
        <v>10</v>
      </c>
      <c r="O526" t="s">
        <v>42</v>
      </c>
      <c r="P526" t="s">
        <v>99</v>
      </c>
      <c r="Q526" s="1">
        <v>45207</v>
      </c>
      <c r="R526" s="1">
        <v>45200</v>
      </c>
      <c r="S526" t="s">
        <v>52</v>
      </c>
      <c r="T526" s="1">
        <v>45200</v>
      </c>
      <c r="U526">
        <v>2023</v>
      </c>
    </row>
    <row r="527" spans="1:21" x14ac:dyDescent="0.3">
      <c r="A527" t="s">
        <v>637</v>
      </c>
      <c r="B527" t="s">
        <v>22</v>
      </c>
      <c r="C527" t="s">
        <v>23</v>
      </c>
      <c r="D527" t="s">
        <v>154</v>
      </c>
      <c r="E527" s="1">
        <v>45118</v>
      </c>
      <c r="F527" t="s">
        <v>40</v>
      </c>
      <c r="G527" t="s">
        <v>81</v>
      </c>
      <c r="H527">
        <v>10</v>
      </c>
      <c r="I527">
        <v>28065</v>
      </c>
      <c r="J527">
        <v>280650</v>
      </c>
      <c r="K527">
        <v>96282</v>
      </c>
      <c r="L527">
        <v>32275</v>
      </c>
      <c r="M527">
        <v>152093</v>
      </c>
      <c r="N527">
        <v>16</v>
      </c>
      <c r="O527" t="s">
        <v>61</v>
      </c>
      <c r="P527" t="s">
        <v>62</v>
      </c>
      <c r="Q527" s="1">
        <v>45116</v>
      </c>
      <c r="R527" s="1">
        <v>45108</v>
      </c>
      <c r="S527" t="s">
        <v>29</v>
      </c>
      <c r="T527" s="1">
        <v>45108</v>
      </c>
      <c r="U527">
        <v>2023</v>
      </c>
    </row>
    <row r="528" spans="1:21" x14ac:dyDescent="0.3">
      <c r="A528" t="s">
        <v>638</v>
      </c>
      <c r="B528" t="s">
        <v>22</v>
      </c>
      <c r="C528" t="s">
        <v>23</v>
      </c>
      <c r="D528" t="s">
        <v>148</v>
      </c>
      <c r="E528" s="1">
        <v>45183</v>
      </c>
      <c r="F528" t="s">
        <v>25</v>
      </c>
      <c r="G528" t="s">
        <v>26</v>
      </c>
      <c r="H528">
        <v>9</v>
      </c>
      <c r="I528">
        <v>62198</v>
      </c>
      <c r="J528">
        <v>559782</v>
      </c>
      <c r="K528">
        <v>168113</v>
      </c>
      <c r="L528">
        <v>106293</v>
      </c>
      <c r="M528">
        <v>285376</v>
      </c>
      <c r="N528">
        <v>33</v>
      </c>
      <c r="O528" t="s">
        <v>42</v>
      </c>
      <c r="P528" t="s">
        <v>84</v>
      </c>
      <c r="Q528" s="1">
        <v>45179</v>
      </c>
      <c r="R528" s="1">
        <v>45108</v>
      </c>
      <c r="S528" t="s">
        <v>104</v>
      </c>
      <c r="T528" s="1">
        <v>45170</v>
      </c>
      <c r="U528">
        <v>2023</v>
      </c>
    </row>
    <row r="529" spans="1:21" x14ac:dyDescent="0.3">
      <c r="A529" t="s">
        <v>639</v>
      </c>
      <c r="B529" t="s">
        <v>22</v>
      </c>
      <c r="C529" t="s">
        <v>23</v>
      </c>
      <c r="D529" t="s">
        <v>119</v>
      </c>
      <c r="E529" s="1">
        <v>44954</v>
      </c>
      <c r="F529" t="s">
        <v>40</v>
      </c>
      <c r="G529" t="s">
        <v>26</v>
      </c>
      <c r="H529">
        <v>9</v>
      </c>
      <c r="I529">
        <v>23832</v>
      </c>
      <c r="J529">
        <v>214488</v>
      </c>
      <c r="K529">
        <v>112348</v>
      </c>
      <c r="L529">
        <v>29177</v>
      </c>
      <c r="M529">
        <v>72963</v>
      </c>
      <c r="N529">
        <v>29</v>
      </c>
      <c r="O529" t="s">
        <v>27</v>
      </c>
      <c r="P529" t="s">
        <v>67</v>
      </c>
      <c r="Q529" s="1">
        <v>44948</v>
      </c>
      <c r="R529" s="1">
        <v>44927</v>
      </c>
      <c r="S529" t="s">
        <v>95</v>
      </c>
      <c r="T529" s="1">
        <v>44927</v>
      </c>
      <c r="U529">
        <v>2023</v>
      </c>
    </row>
    <row r="530" spans="1:21" x14ac:dyDescent="0.3">
      <c r="A530" t="s">
        <v>640</v>
      </c>
      <c r="B530" t="s">
        <v>37</v>
      </c>
      <c r="C530" t="s">
        <v>38</v>
      </c>
      <c r="D530" t="s">
        <v>221</v>
      </c>
      <c r="E530" s="1">
        <v>45149</v>
      </c>
      <c r="F530" t="s">
        <v>49</v>
      </c>
      <c r="G530" t="s">
        <v>64</v>
      </c>
      <c r="H530">
        <v>9</v>
      </c>
      <c r="I530">
        <v>16423</v>
      </c>
      <c r="J530">
        <v>147807</v>
      </c>
      <c r="K530">
        <v>83016</v>
      </c>
      <c r="L530">
        <v>18634</v>
      </c>
      <c r="M530">
        <v>46157</v>
      </c>
      <c r="N530">
        <v>4</v>
      </c>
      <c r="O530" t="s">
        <v>61</v>
      </c>
      <c r="P530" t="s">
        <v>99</v>
      </c>
      <c r="Q530" s="1">
        <v>45144</v>
      </c>
      <c r="R530" s="1">
        <v>45108</v>
      </c>
      <c r="S530" t="s">
        <v>92</v>
      </c>
      <c r="T530" s="1">
        <v>45139</v>
      </c>
      <c r="U530">
        <v>2023</v>
      </c>
    </row>
    <row r="531" spans="1:21" x14ac:dyDescent="0.3">
      <c r="A531" t="s">
        <v>641</v>
      </c>
      <c r="B531" t="s">
        <v>72</v>
      </c>
      <c r="C531" t="s">
        <v>47</v>
      </c>
      <c r="D531" t="s">
        <v>196</v>
      </c>
      <c r="E531" s="1">
        <v>45008</v>
      </c>
      <c r="F531" t="s">
        <v>25</v>
      </c>
      <c r="G531" t="s">
        <v>98</v>
      </c>
      <c r="H531">
        <v>7</v>
      </c>
      <c r="I531">
        <v>19131</v>
      </c>
      <c r="J531">
        <v>133917</v>
      </c>
      <c r="K531">
        <v>74329</v>
      </c>
      <c r="L531">
        <v>19097</v>
      </c>
      <c r="M531">
        <v>40491</v>
      </c>
      <c r="N531">
        <v>46</v>
      </c>
      <c r="O531" t="s">
        <v>34</v>
      </c>
      <c r="P531" t="s">
        <v>84</v>
      </c>
      <c r="Q531" s="1">
        <v>45004</v>
      </c>
      <c r="R531" s="1">
        <v>44927</v>
      </c>
      <c r="S531" t="s">
        <v>44</v>
      </c>
      <c r="T531" s="1">
        <v>44986</v>
      </c>
      <c r="U531">
        <v>2023</v>
      </c>
    </row>
    <row r="532" spans="1:21" x14ac:dyDescent="0.3">
      <c r="A532" t="s">
        <v>642</v>
      </c>
      <c r="B532" t="s">
        <v>46</v>
      </c>
      <c r="C532" t="s">
        <v>47</v>
      </c>
      <c r="D532" t="s">
        <v>256</v>
      </c>
      <c r="E532" s="1">
        <v>44969</v>
      </c>
      <c r="F532" t="s">
        <v>40</v>
      </c>
      <c r="G532" t="s">
        <v>64</v>
      </c>
      <c r="H532">
        <v>7</v>
      </c>
      <c r="I532">
        <v>59850</v>
      </c>
      <c r="J532">
        <v>418950</v>
      </c>
      <c r="K532">
        <v>196329</v>
      </c>
      <c r="L532">
        <v>56869</v>
      </c>
      <c r="M532">
        <v>165752</v>
      </c>
      <c r="N532">
        <v>27</v>
      </c>
      <c r="O532" t="s">
        <v>50</v>
      </c>
      <c r="P532" t="s">
        <v>28</v>
      </c>
      <c r="Q532" s="1">
        <v>44969</v>
      </c>
      <c r="R532" s="1">
        <v>44927</v>
      </c>
      <c r="S532" t="s">
        <v>85</v>
      </c>
      <c r="T532" s="1">
        <v>44958</v>
      </c>
      <c r="U532">
        <v>2023</v>
      </c>
    </row>
    <row r="533" spans="1:21" x14ac:dyDescent="0.3">
      <c r="A533" t="s">
        <v>643</v>
      </c>
      <c r="B533" t="s">
        <v>37</v>
      </c>
      <c r="C533" t="s">
        <v>38</v>
      </c>
      <c r="D533" t="s">
        <v>148</v>
      </c>
      <c r="E533" s="1">
        <v>45073</v>
      </c>
      <c r="F533" t="s">
        <v>57</v>
      </c>
      <c r="G533" t="s">
        <v>26</v>
      </c>
      <c r="H533">
        <v>3</v>
      </c>
      <c r="I533">
        <v>18917</v>
      </c>
      <c r="J533">
        <v>56751</v>
      </c>
      <c r="K533">
        <v>31194</v>
      </c>
      <c r="L533">
        <v>9228</v>
      </c>
      <c r="M533">
        <v>16329</v>
      </c>
      <c r="N533">
        <v>44</v>
      </c>
      <c r="O533" t="s">
        <v>61</v>
      </c>
      <c r="P533" t="s">
        <v>67</v>
      </c>
      <c r="Q533" s="1">
        <v>45067</v>
      </c>
      <c r="R533" s="1">
        <v>45017</v>
      </c>
      <c r="S533" t="s">
        <v>68</v>
      </c>
      <c r="T533" s="1">
        <v>45047</v>
      </c>
      <c r="U533">
        <v>2023</v>
      </c>
    </row>
    <row r="534" spans="1:21" x14ac:dyDescent="0.3">
      <c r="A534" t="s">
        <v>644</v>
      </c>
      <c r="B534" t="s">
        <v>22</v>
      </c>
      <c r="C534" t="s">
        <v>23</v>
      </c>
      <c r="D534" t="s">
        <v>148</v>
      </c>
      <c r="E534" s="1">
        <v>45190</v>
      </c>
      <c r="F534" t="s">
        <v>49</v>
      </c>
      <c r="G534" t="s">
        <v>33</v>
      </c>
      <c r="H534">
        <v>9</v>
      </c>
      <c r="I534">
        <v>55207</v>
      </c>
      <c r="J534">
        <v>496863</v>
      </c>
      <c r="K534">
        <v>154502</v>
      </c>
      <c r="L534">
        <v>67268</v>
      </c>
      <c r="M534">
        <v>275093</v>
      </c>
      <c r="N534">
        <v>50</v>
      </c>
      <c r="O534" t="s">
        <v>61</v>
      </c>
      <c r="P534" t="s">
        <v>84</v>
      </c>
      <c r="Q534" s="1">
        <v>45186</v>
      </c>
      <c r="R534" s="1">
        <v>45108</v>
      </c>
      <c r="S534" t="s">
        <v>104</v>
      </c>
      <c r="T534" s="1">
        <v>45170</v>
      </c>
      <c r="U534">
        <v>2023</v>
      </c>
    </row>
    <row r="535" spans="1:21" x14ac:dyDescent="0.3">
      <c r="A535" t="s">
        <v>645</v>
      </c>
      <c r="B535" t="s">
        <v>72</v>
      </c>
      <c r="C535" t="s">
        <v>47</v>
      </c>
      <c r="D535" t="s">
        <v>97</v>
      </c>
      <c r="E535" s="1">
        <v>44931</v>
      </c>
      <c r="F535" t="s">
        <v>25</v>
      </c>
      <c r="G535" t="s">
        <v>41</v>
      </c>
      <c r="H535">
        <v>4</v>
      </c>
      <c r="I535">
        <v>21866</v>
      </c>
      <c r="J535">
        <v>87464</v>
      </c>
      <c r="K535">
        <v>31416</v>
      </c>
      <c r="L535">
        <v>13365</v>
      </c>
      <c r="M535">
        <v>42683</v>
      </c>
      <c r="N535">
        <v>21</v>
      </c>
      <c r="O535" t="s">
        <v>27</v>
      </c>
      <c r="P535" t="s">
        <v>84</v>
      </c>
      <c r="Q535" s="1">
        <v>44927</v>
      </c>
      <c r="R535" s="1">
        <v>44927</v>
      </c>
      <c r="S535" t="s">
        <v>95</v>
      </c>
      <c r="T535" s="1">
        <v>44927</v>
      </c>
      <c r="U535">
        <v>2023</v>
      </c>
    </row>
    <row r="536" spans="1:21" x14ac:dyDescent="0.3">
      <c r="A536" t="s">
        <v>646</v>
      </c>
      <c r="B536" t="s">
        <v>22</v>
      </c>
      <c r="C536" t="s">
        <v>23</v>
      </c>
      <c r="D536" t="s">
        <v>135</v>
      </c>
      <c r="E536" s="1">
        <v>45173</v>
      </c>
      <c r="F536" t="s">
        <v>25</v>
      </c>
      <c r="G536" t="s">
        <v>58</v>
      </c>
      <c r="H536">
        <v>7</v>
      </c>
      <c r="I536">
        <v>67205</v>
      </c>
      <c r="J536">
        <v>470435</v>
      </c>
      <c r="K536">
        <v>255864</v>
      </c>
      <c r="L536">
        <v>72381</v>
      </c>
      <c r="M536">
        <v>142190</v>
      </c>
      <c r="N536">
        <v>41</v>
      </c>
      <c r="O536" t="s">
        <v>27</v>
      </c>
      <c r="P536" t="s">
        <v>51</v>
      </c>
      <c r="Q536" s="1">
        <v>45172</v>
      </c>
      <c r="R536" s="1">
        <v>45108</v>
      </c>
      <c r="S536" t="s">
        <v>104</v>
      </c>
      <c r="T536" s="1">
        <v>45170</v>
      </c>
      <c r="U536">
        <v>2023</v>
      </c>
    </row>
    <row r="537" spans="1:21" x14ac:dyDescent="0.3">
      <c r="A537" t="s">
        <v>647</v>
      </c>
      <c r="B537" t="s">
        <v>31</v>
      </c>
      <c r="C537" t="s">
        <v>23</v>
      </c>
      <c r="D537" t="s">
        <v>101</v>
      </c>
      <c r="E537" s="1">
        <v>44994</v>
      </c>
      <c r="F537" t="s">
        <v>40</v>
      </c>
      <c r="G537" t="s">
        <v>81</v>
      </c>
      <c r="H537">
        <v>10</v>
      </c>
      <c r="I537">
        <v>8833</v>
      </c>
      <c r="J537">
        <v>88330</v>
      </c>
      <c r="K537">
        <v>49051</v>
      </c>
      <c r="L537">
        <v>14115</v>
      </c>
      <c r="M537">
        <v>25164</v>
      </c>
      <c r="N537">
        <v>1</v>
      </c>
      <c r="O537" t="s">
        <v>61</v>
      </c>
      <c r="P537" t="s">
        <v>84</v>
      </c>
      <c r="Q537" s="1">
        <v>44990</v>
      </c>
      <c r="R537" s="1">
        <v>44927</v>
      </c>
      <c r="S537" t="s">
        <v>44</v>
      </c>
      <c r="T537" s="1">
        <v>44986</v>
      </c>
      <c r="U537">
        <v>2023</v>
      </c>
    </row>
    <row r="538" spans="1:21" x14ac:dyDescent="0.3">
      <c r="A538" t="s">
        <v>648</v>
      </c>
      <c r="B538" t="s">
        <v>72</v>
      </c>
      <c r="C538" t="s">
        <v>47</v>
      </c>
      <c r="D538" t="s">
        <v>60</v>
      </c>
      <c r="E538" s="1">
        <v>45168</v>
      </c>
      <c r="F538" t="s">
        <v>40</v>
      </c>
      <c r="G538" t="s">
        <v>58</v>
      </c>
      <c r="H538">
        <v>1</v>
      </c>
      <c r="I538">
        <v>49801</v>
      </c>
      <c r="J538">
        <v>49801</v>
      </c>
      <c r="K538">
        <v>18701</v>
      </c>
      <c r="L538">
        <v>7135</v>
      </c>
      <c r="M538">
        <v>23965</v>
      </c>
      <c r="N538">
        <v>36</v>
      </c>
      <c r="O538" t="s">
        <v>42</v>
      </c>
      <c r="P538" t="s">
        <v>43</v>
      </c>
      <c r="Q538" s="1">
        <v>45165</v>
      </c>
      <c r="R538" s="1">
        <v>45108</v>
      </c>
      <c r="S538" t="s">
        <v>92</v>
      </c>
      <c r="T538" s="1">
        <v>45139</v>
      </c>
      <c r="U538">
        <v>2023</v>
      </c>
    </row>
    <row r="539" spans="1:21" x14ac:dyDescent="0.3">
      <c r="A539" t="s">
        <v>649</v>
      </c>
      <c r="B539" t="s">
        <v>72</v>
      </c>
      <c r="C539" t="s">
        <v>47</v>
      </c>
      <c r="D539" t="s">
        <v>60</v>
      </c>
      <c r="E539" s="1">
        <v>45054</v>
      </c>
      <c r="F539" t="s">
        <v>40</v>
      </c>
      <c r="G539" t="s">
        <v>33</v>
      </c>
      <c r="H539">
        <v>9</v>
      </c>
      <c r="I539">
        <v>53561</v>
      </c>
      <c r="J539">
        <v>482049</v>
      </c>
      <c r="K539">
        <v>250192</v>
      </c>
      <c r="L539">
        <v>55069</v>
      </c>
      <c r="M539">
        <v>176788</v>
      </c>
      <c r="N539">
        <v>22</v>
      </c>
      <c r="O539" t="s">
        <v>34</v>
      </c>
      <c r="P539" t="s">
        <v>51</v>
      </c>
      <c r="Q539" s="1">
        <v>45053</v>
      </c>
      <c r="R539" s="1">
        <v>45017</v>
      </c>
      <c r="S539" t="s">
        <v>68</v>
      </c>
      <c r="T539" s="1">
        <v>45047</v>
      </c>
      <c r="U539">
        <v>2023</v>
      </c>
    </row>
    <row r="540" spans="1:21" x14ac:dyDescent="0.3">
      <c r="A540" t="s">
        <v>650</v>
      </c>
      <c r="B540" t="s">
        <v>72</v>
      </c>
      <c r="C540" t="s">
        <v>47</v>
      </c>
      <c r="D540" t="s">
        <v>101</v>
      </c>
      <c r="E540" s="1">
        <v>45126</v>
      </c>
      <c r="F540" t="s">
        <v>25</v>
      </c>
      <c r="G540" t="s">
        <v>26</v>
      </c>
      <c r="H540">
        <v>4</v>
      </c>
      <c r="I540">
        <v>46646</v>
      </c>
      <c r="J540">
        <v>186584</v>
      </c>
      <c r="K540">
        <v>97191</v>
      </c>
      <c r="L540">
        <v>21736</v>
      </c>
      <c r="M540">
        <v>67657</v>
      </c>
      <c r="N540">
        <v>42</v>
      </c>
      <c r="O540" t="s">
        <v>34</v>
      </c>
      <c r="P540" t="s">
        <v>43</v>
      </c>
      <c r="Q540" s="1">
        <v>45123</v>
      </c>
      <c r="R540" s="1">
        <v>45108</v>
      </c>
      <c r="S540" t="s">
        <v>29</v>
      </c>
      <c r="T540" s="1">
        <v>45108</v>
      </c>
      <c r="U540">
        <v>2023</v>
      </c>
    </row>
    <row r="541" spans="1:21" x14ac:dyDescent="0.3">
      <c r="A541" t="s">
        <v>651</v>
      </c>
      <c r="B541" t="s">
        <v>37</v>
      </c>
      <c r="C541" t="s">
        <v>38</v>
      </c>
      <c r="D541" t="s">
        <v>24</v>
      </c>
      <c r="E541" s="1">
        <v>45181</v>
      </c>
      <c r="F541" t="s">
        <v>49</v>
      </c>
      <c r="G541" t="s">
        <v>33</v>
      </c>
      <c r="H541">
        <v>4</v>
      </c>
      <c r="I541">
        <v>36798</v>
      </c>
      <c r="J541">
        <v>147192</v>
      </c>
      <c r="K541">
        <v>81873</v>
      </c>
      <c r="L541">
        <v>26303</v>
      </c>
      <c r="M541">
        <v>39016</v>
      </c>
      <c r="N541">
        <v>37</v>
      </c>
      <c r="O541" t="s">
        <v>50</v>
      </c>
      <c r="P541" t="s">
        <v>62</v>
      </c>
      <c r="Q541" s="1">
        <v>45179</v>
      </c>
      <c r="R541" s="1">
        <v>45108</v>
      </c>
      <c r="S541" t="s">
        <v>104</v>
      </c>
      <c r="T541" s="1">
        <v>45170</v>
      </c>
      <c r="U541">
        <v>2023</v>
      </c>
    </row>
    <row r="542" spans="1:21" x14ac:dyDescent="0.3">
      <c r="A542" t="s">
        <v>652</v>
      </c>
      <c r="B542" t="s">
        <v>46</v>
      </c>
      <c r="C542" t="s">
        <v>47</v>
      </c>
      <c r="D542" t="s">
        <v>60</v>
      </c>
      <c r="E542" s="1">
        <v>45241</v>
      </c>
      <c r="F542" t="s">
        <v>57</v>
      </c>
      <c r="G542" t="s">
        <v>33</v>
      </c>
      <c r="H542">
        <v>3</v>
      </c>
      <c r="I542">
        <v>52071</v>
      </c>
      <c r="J542">
        <v>156213</v>
      </c>
      <c r="K542">
        <v>56383</v>
      </c>
      <c r="L542">
        <v>28760</v>
      </c>
      <c r="M542">
        <v>71070</v>
      </c>
      <c r="N542">
        <v>9</v>
      </c>
      <c r="O542" t="s">
        <v>61</v>
      </c>
      <c r="P542" t="s">
        <v>67</v>
      </c>
      <c r="Q542" s="1">
        <v>45235</v>
      </c>
      <c r="R542" s="1">
        <v>45200</v>
      </c>
      <c r="S542" t="s">
        <v>138</v>
      </c>
      <c r="T542" s="1">
        <v>45231</v>
      </c>
      <c r="U542">
        <v>2023</v>
      </c>
    </row>
    <row r="543" spans="1:21" x14ac:dyDescent="0.3">
      <c r="A543" t="s">
        <v>653</v>
      </c>
      <c r="B543" t="s">
        <v>37</v>
      </c>
      <c r="C543" t="s">
        <v>38</v>
      </c>
      <c r="D543" t="s">
        <v>89</v>
      </c>
      <c r="E543" s="1">
        <v>44929</v>
      </c>
      <c r="F543" t="s">
        <v>49</v>
      </c>
      <c r="G543" t="s">
        <v>26</v>
      </c>
      <c r="H543">
        <v>2</v>
      </c>
      <c r="I543">
        <v>42257</v>
      </c>
      <c r="J543">
        <v>84514</v>
      </c>
      <c r="K543">
        <v>31805</v>
      </c>
      <c r="L543">
        <v>16772</v>
      </c>
      <c r="M543">
        <v>35937</v>
      </c>
      <c r="N543">
        <v>23</v>
      </c>
      <c r="O543" t="s">
        <v>27</v>
      </c>
      <c r="P543" t="s">
        <v>62</v>
      </c>
      <c r="Q543" s="1">
        <v>44927</v>
      </c>
      <c r="R543" s="1">
        <v>44927</v>
      </c>
      <c r="S543" t="s">
        <v>95</v>
      </c>
      <c r="T543" s="1">
        <v>44927</v>
      </c>
      <c r="U543">
        <v>2023</v>
      </c>
    </row>
    <row r="544" spans="1:21" x14ac:dyDescent="0.3">
      <c r="A544" t="s">
        <v>654</v>
      </c>
      <c r="B544" t="s">
        <v>72</v>
      </c>
      <c r="C544" t="s">
        <v>47</v>
      </c>
      <c r="D544" t="s">
        <v>142</v>
      </c>
      <c r="E544" s="1">
        <v>45121</v>
      </c>
      <c r="F544" t="s">
        <v>57</v>
      </c>
      <c r="G544" t="s">
        <v>98</v>
      </c>
      <c r="H544">
        <v>8</v>
      </c>
      <c r="I544">
        <v>40285</v>
      </c>
      <c r="J544">
        <v>322280</v>
      </c>
      <c r="K544">
        <v>104066</v>
      </c>
      <c r="L544">
        <v>47844</v>
      </c>
      <c r="M544">
        <v>170370</v>
      </c>
      <c r="N544">
        <v>0</v>
      </c>
      <c r="O544" t="s">
        <v>34</v>
      </c>
      <c r="P544" t="s">
        <v>99</v>
      </c>
      <c r="Q544" s="1">
        <v>45116</v>
      </c>
      <c r="R544" s="1">
        <v>45108</v>
      </c>
      <c r="S544" t="s">
        <v>29</v>
      </c>
      <c r="T544" s="1">
        <v>45108</v>
      </c>
      <c r="U544">
        <v>2023</v>
      </c>
    </row>
    <row r="545" spans="1:21" x14ac:dyDescent="0.3">
      <c r="A545" t="s">
        <v>655</v>
      </c>
      <c r="B545" t="s">
        <v>46</v>
      </c>
      <c r="C545" t="s">
        <v>47</v>
      </c>
      <c r="D545" t="s">
        <v>111</v>
      </c>
      <c r="E545" s="1">
        <v>45241</v>
      </c>
      <c r="F545" t="s">
        <v>40</v>
      </c>
      <c r="G545" t="s">
        <v>58</v>
      </c>
      <c r="H545">
        <v>10</v>
      </c>
      <c r="I545">
        <v>35145</v>
      </c>
      <c r="J545">
        <v>351450</v>
      </c>
      <c r="K545">
        <v>163641</v>
      </c>
      <c r="L545">
        <v>41243</v>
      </c>
      <c r="M545">
        <v>146566</v>
      </c>
      <c r="N545">
        <v>21</v>
      </c>
      <c r="O545" t="s">
        <v>50</v>
      </c>
      <c r="P545" t="s">
        <v>67</v>
      </c>
      <c r="Q545" s="1">
        <v>45235</v>
      </c>
      <c r="R545" s="1">
        <v>45200</v>
      </c>
      <c r="S545" t="s">
        <v>138</v>
      </c>
      <c r="T545" s="1">
        <v>45231</v>
      </c>
      <c r="U545">
        <v>2023</v>
      </c>
    </row>
    <row r="546" spans="1:21" x14ac:dyDescent="0.3">
      <c r="A546" t="s">
        <v>656</v>
      </c>
      <c r="B546" t="s">
        <v>46</v>
      </c>
      <c r="C546" t="s">
        <v>47</v>
      </c>
      <c r="D546" t="s">
        <v>66</v>
      </c>
      <c r="E546" s="1">
        <v>44986</v>
      </c>
      <c r="F546" t="s">
        <v>49</v>
      </c>
      <c r="G546" t="s">
        <v>41</v>
      </c>
      <c r="H546">
        <v>6</v>
      </c>
      <c r="I546">
        <v>39847</v>
      </c>
      <c r="J546">
        <v>239082</v>
      </c>
      <c r="K546">
        <v>132353</v>
      </c>
      <c r="L546">
        <v>39284</v>
      </c>
      <c r="M546">
        <v>67445</v>
      </c>
      <c r="N546">
        <v>43</v>
      </c>
      <c r="O546" t="s">
        <v>27</v>
      </c>
      <c r="P546" t="s">
        <v>43</v>
      </c>
      <c r="Q546" s="1">
        <v>44983</v>
      </c>
      <c r="R546" s="1">
        <v>44927</v>
      </c>
      <c r="S546" t="s">
        <v>44</v>
      </c>
      <c r="T546" s="1">
        <v>44986</v>
      </c>
      <c r="U546">
        <v>2023</v>
      </c>
    </row>
    <row r="547" spans="1:21" x14ac:dyDescent="0.3">
      <c r="A547" t="s">
        <v>657</v>
      </c>
      <c r="B547" t="s">
        <v>22</v>
      </c>
      <c r="C547" t="s">
        <v>23</v>
      </c>
      <c r="D547" t="s">
        <v>152</v>
      </c>
      <c r="E547" s="1">
        <v>45041</v>
      </c>
      <c r="F547" t="s">
        <v>57</v>
      </c>
      <c r="G547" t="s">
        <v>81</v>
      </c>
      <c r="H547">
        <v>5</v>
      </c>
      <c r="I547">
        <v>42901</v>
      </c>
      <c r="J547">
        <v>214505</v>
      </c>
      <c r="K547">
        <v>126250</v>
      </c>
      <c r="L547">
        <v>35193</v>
      </c>
      <c r="M547">
        <v>53062</v>
      </c>
      <c r="N547">
        <v>16</v>
      </c>
      <c r="O547" t="s">
        <v>34</v>
      </c>
      <c r="P547" t="s">
        <v>62</v>
      </c>
      <c r="Q547" s="1">
        <v>45039</v>
      </c>
      <c r="R547" s="1">
        <v>45017</v>
      </c>
      <c r="S547" t="s">
        <v>74</v>
      </c>
      <c r="T547" s="1">
        <v>45017</v>
      </c>
      <c r="U547">
        <v>2023</v>
      </c>
    </row>
    <row r="548" spans="1:21" x14ac:dyDescent="0.3">
      <c r="A548" t="s">
        <v>658</v>
      </c>
      <c r="B548" t="s">
        <v>72</v>
      </c>
      <c r="C548" t="s">
        <v>47</v>
      </c>
      <c r="D548" t="s">
        <v>78</v>
      </c>
      <c r="E548" s="1">
        <v>45167</v>
      </c>
      <c r="F548" t="s">
        <v>57</v>
      </c>
      <c r="G548" t="s">
        <v>64</v>
      </c>
      <c r="H548">
        <v>9</v>
      </c>
      <c r="I548">
        <v>8985</v>
      </c>
      <c r="J548">
        <v>80865</v>
      </c>
      <c r="K548">
        <v>38772</v>
      </c>
      <c r="L548">
        <v>12575</v>
      </c>
      <c r="M548">
        <v>29518</v>
      </c>
      <c r="N548">
        <v>47</v>
      </c>
      <c r="O548" t="s">
        <v>34</v>
      </c>
      <c r="P548" t="s">
        <v>62</v>
      </c>
      <c r="Q548" s="1">
        <v>45165</v>
      </c>
      <c r="R548" s="1">
        <v>45108</v>
      </c>
      <c r="S548" t="s">
        <v>92</v>
      </c>
      <c r="T548" s="1">
        <v>45139</v>
      </c>
      <c r="U548">
        <v>2023</v>
      </c>
    </row>
    <row r="549" spans="1:21" x14ac:dyDescent="0.3">
      <c r="A549" t="s">
        <v>659</v>
      </c>
      <c r="B549" t="s">
        <v>37</v>
      </c>
      <c r="C549" t="s">
        <v>38</v>
      </c>
      <c r="D549" t="s">
        <v>128</v>
      </c>
      <c r="E549" s="1">
        <v>44935</v>
      </c>
      <c r="F549" t="s">
        <v>25</v>
      </c>
      <c r="G549" t="s">
        <v>64</v>
      </c>
      <c r="H549">
        <v>8</v>
      </c>
      <c r="I549">
        <v>11589</v>
      </c>
      <c r="J549">
        <v>92712</v>
      </c>
      <c r="K549">
        <v>45197</v>
      </c>
      <c r="L549">
        <v>11270</v>
      </c>
      <c r="M549">
        <v>36245</v>
      </c>
      <c r="N549">
        <v>3</v>
      </c>
      <c r="O549" t="s">
        <v>27</v>
      </c>
      <c r="P549" t="s">
        <v>51</v>
      </c>
      <c r="Q549" s="1">
        <v>44934</v>
      </c>
      <c r="R549" s="1">
        <v>44927</v>
      </c>
      <c r="S549" t="s">
        <v>95</v>
      </c>
      <c r="T549" s="1">
        <v>44927</v>
      </c>
      <c r="U549">
        <v>2023</v>
      </c>
    </row>
    <row r="550" spans="1:21" x14ac:dyDescent="0.3">
      <c r="A550" t="s">
        <v>660</v>
      </c>
      <c r="B550" t="s">
        <v>22</v>
      </c>
      <c r="C550" t="s">
        <v>23</v>
      </c>
      <c r="D550" t="s">
        <v>219</v>
      </c>
      <c r="E550" s="1">
        <v>45192</v>
      </c>
      <c r="F550" t="s">
        <v>40</v>
      </c>
      <c r="G550" t="s">
        <v>33</v>
      </c>
      <c r="H550">
        <v>5</v>
      </c>
      <c r="I550">
        <v>5767</v>
      </c>
      <c r="J550">
        <v>28835</v>
      </c>
      <c r="K550">
        <v>9862</v>
      </c>
      <c r="L550">
        <v>3528</v>
      </c>
      <c r="M550">
        <v>15445</v>
      </c>
      <c r="N550">
        <v>22</v>
      </c>
      <c r="O550" t="s">
        <v>50</v>
      </c>
      <c r="P550" t="s">
        <v>67</v>
      </c>
      <c r="Q550" s="1">
        <v>45186</v>
      </c>
      <c r="R550" s="1">
        <v>45108</v>
      </c>
      <c r="S550" t="s">
        <v>104</v>
      </c>
      <c r="T550" s="1">
        <v>45170</v>
      </c>
      <c r="U550">
        <v>2023</v>
      </c>
    </row>
    <row r="551" spans="1:21" x14ac:dyDescent="0.3">
      <c r="A551" t="s">
        <v>661</v>
      </c>
      <c r="B551" t="s">
        <v>37</v>
      </c>
      <c r="C551" t="s">
        <v>38</v>
      </c>
      <c r="D551" t="s">
        <v>152</v>
      </c>
      <c r="E551" s="1">
        <v>45104</v>
      </c>
      <c r="F551" t="s">
        <v>57</v>
      </c>
      <c r="G551" t="s">
        <v>64</v>
      </c>
      <c r="H551">
        <v>4</v>
      </c>
      <c r="I551">
        <v>16575</v>
      </c>
      <c r="J551">
        <v>66300</v>
      </c>
      <c r="K551">
        <v>30419</v>
      </c>
      <c r="L551">
        <v>11101</v>
      </c>
      <c r="M551">
        <v>24780</v>
      </c>
      <c r="N551">
        <v>28</v>
      </c>
      <c r="O551" t="s">
        <v>61</v>
      </c>
      <c r="P551" t="s">
        <v>62</v>
      </c>
      <c r="Q551" s="1">
        <v>45102</v>
      </c>
      <c r="R551" s="1">
        <v>45017</v>
      </c>
      <c r="S551" t="s">
        <v>35</v>
      </c>
      <c r="T551" s="1">
        <v>45078</v>
      </c>
      <c r="U551">
        <v>2023</v>
      </c>
    </row>
    <row r="552" spans="1:21" x14ac:dyDescent="0.3">
      <c r="A552" t="s">
        <v>662</v>
      </c>
      <c r="B552" t="s">
        <v>22</v>
      </c>
      <c r="C552" t="s">
        <v>23</v>
      </c>
      <c r="D552" t="s">
        <v>66</v>
      </c>
      <c r="E552" s="1">
        <v>44943</v>
      </c>
      <c r="F552" t="s">
        <v>49</v>
      </c>
      <c r="G552" t="s">
        <v>64</v>
      </c>
      <c r="H552">
        <v>8</v>
      </c>
      <c r="I552">
        <v>63088</v>
      </c>
      <c r="J552">
        <v>504704</v>
      </c>
      <c r="K552">
        <v>252264</v>
      </c>
      <c r="L552">
        <v>96087</v>
      </c>
      <c r="M552">
        <v>156353</v>
      </c>
      <c r="N552">
        <v>46</v>
      </c>
      <c r="O552" t="s">
        <v>50</v>
      </c>
      <c r="P552" t="s">
        <v>62</v>
      </c>
      <c r="Q552" s="1">
        <v>44941</v>
      </c>
      <c r="R552" s="1">
        <v>44927</v>
      </c>
      <c r="S552" t="s">
        <v>95</v>
      </c>
      <c r="T552" s="1">
        <v>44927</v>
      </c>
      <c r="U552">
        <v>2023</v>
      </c>
    </row>
    <row r="553" spans="1:21" x14ac:dyDescent="0.3">
      <c r="A553" t="s">
        <v>663</v>
      </c>
      <c r="B553" t="s">
        <v>72</v>
      </c>
      <c r="C553" t="s">
        <v>47</v>
      </c>
      <c r="D553" t="s">
        <v>56</v>
      </c>
      <c r="E553" s="1">
        <v>45097</v>
      </c>
      <c r="F553" t="s">
        <v>40</v>
      </c>
      <c r="G553" t="s">
        <v>64</v>
      </c>
      <c r="H553">
        <v>5</v>
      </c>
      <c r="I553">
        <v>29730</v>
      </c>
      <c r="J553">
        <v>148650</v>
      </c>
      <c r="K553">
        <v>66543</v>
      </c>
      <c r="L553">
        <v>20194</v>
      </c>
      <c r="M553">
        <v>61913</v>
      </c>
      <c r="N553">
        <v>43</v>
      </c>
      <c r="O553" t="s">
        <v>34</v>
      </c>
      <c r="P553" t="s">
        <v>62</v>
      </c>
      <c r="Q553" s="1">
        <v>45095</v>
      </c>
      <c r="R553" s="1">
        <v>45017</v>
      </c>
      <c r="S553" t="s">
        <v>35</v>
      </c>
      <c r="T553" s="1">
        <v>45078</v>
      </c>
      <c r="U553">
        <v>2023</v>
      </c>
    </row>
    <row r="554" spans="1:21" x14ac:dyDescent="0.3">
      <c r="A554" t="s">
        <v>664</v>
      </c>
      <c r="B554" t="s">
        <v>46</v>
      </c>
      <c r="C554" t="s">
        <v>47</v>
      </c>
      <c r="D554" t="s">
        <v>152</v>
      </c>
      <c r="E554" s="1">
        <v>45178</v>
      </c>
      <c r="F554" t="s">
        <v>57</v>
      </c>
      <c r="G554" t="s">
        <v>81</v>
      </c>
      <c r="H554">
        <v>7</v>
      </c>
      <c r="I554">
        <v>25169</v>
      </c>
      <c r="J554">
        <v>176183</v>
      </c>
      <c r="K554">
        <v>90291</v>
      </c>
      <c r="L554">
        <v>28085</v>
      </c>
      <c r="M554">
        <v>57807</v>
      </c>
      <c r="N554">
        <v>15</v>
      </c>
      <c r="O554" t="s">
        <v>27</v>
      </c>
      <c r="P554" t="s">
        <v>67</v>
      </c>
      <c r="Q554" s="1">
        <v>45172</v>
      </c>
      <c r="R554" s="1">
        <v>45108</v>
      </c>
      <c r="S554" t="s">
        <v>104</v>
      </c>
      <c r="T554" s="1">
        <v>45170</v>
      </c>
      <c r="U554">
        <v>2023</v>
      </c>
    </row>
    <row r="555" spans="1:21" x14ac:dyDescent="0.3">
      <c r="A555" t="s">
        <v>665</v>
      </c>
      <c r="B555" t="s">
        <v>22</v>
      </c>
      <c r="C555" t="s">
        <v>23</v>
      </c>
      <c r="D555" t="s">
        <v>24</v>
      </c>
      <c r="E555" s="1">
        <v>45049</v>
      </c>
      <c r="F555" t="s">
        <v>40</v>
      </c>
      <c r="G555" t="s">
        <v>26</v>
      </c>
      <c r="H555">
        <v>10</v>
      </c>
      <c r="I555">
        <v>14104</v>
      </c>
      <c r="J555">
        <v>141040</v>
      </c>
      <c r="K555">
        <v>59147</v>
      </c>
      <c r="L555">
        <v>19475</v>
      </c>
      <c r="M555">
        <v>62418</v>
      </c>
      <c r="N555">
        <v>36</v>
      </c>
      <c r="O555" t="s">
        <v>50</v>
      </c>
      <c r="P555" t="s">
        <v>43</v>
      </c>
      <c r="Q555" s="1">
        <v>45046</v>
      </c>
      <c r="R555" s="1">
        <v>45017</v>
      </c>
      <c r="S555" t="s">
        <v>68</v>
      </c>
      <c r="T555" s="1">
        <v>45047</v>
      </c>
      <c r="U555">
        <v>2023</v>
      </c>
    </row>
    <row r="556" spans="1:21" x14ac:dyDescent="0.3">
      <c r="A556" t="s">
        <v>666</v>
      </c>
      <c r="B556" t="s">
        <v>37</v>
      </c>
      <c r="C556" t="s">
        <v>38</v>
      </c>
      <c r="D556" t="s">
        <v>190</v>
      </c>
      <c r="E556" s="1">
        <v>45183</v>
      </c>
      <c r="F556" t="s">
        <v>49</v>
      </c>
      <c r="G556" t="s">
        <v>26</v>
      </c>
      <c r="H556">
        <v>7</v>
      </c>
      <c r="I556">
        <v>3386</v>
      </c>
      <c r="J556">
        <v>23702</v>
      </c>
      <c r="K556">
        <v>7174</v>
      </c>
      <c r="L556">
        <v>3860</v>
      </c>
      <c r="M556">
        <v>12668</v>
      </c>
      <c r="N556">
        <v>31</v>
      </c>
      <c r="O556" t="s">
        <v>50</v>
      </c>
      <c r="P556" t="s">
        <v>84</v>
      </c>
      <c r="Q556" s="1">
        <v>45179</v>
      </c>
      <c r="R556" s="1">
        <v>45108</v>
      </c>
      <c r="S556" t="s">
        <v>104</v>
      </c>
      <c r="T556" s="1">
        <v>45170</v>
      </c>
      <c r="U556">
        <v>2023</v>
      </c>
    </row>
    <row r="557" spans="1:21" x14ac:dyDescent="0.3">
      <c r="A557" t="s">
        <v>667</v>
      </c>
      <c r="B557" t="s">
        <v>72</v>
      </c>
      <c r="C557" t="s">
        <v>47</v>
      </c>
      <c r="D557" t="s">
        <v>205</v>
      </c>
      <c r="E557" s="1">
        <v>45233</v>
      </c>
      <c r="F557" t="s">
        <v>25</v>
      </c>
      <c r="G557" t="s">
        <v>41</v>
      </c>
      <c r="H557">
        <v>8</v>
      </c>
      <c r="I557">
        <v>63238</v>
      </c>
      <c r="J557">
        <v>505904</v>
      </c>
      <c r="K557">
        <v>277123</v>
      </c>
      <c r="L557">
        <v>69513</v>
      </c>
      <c r="M557">
        <v>159268</v>
      </c>
      <c r="N557">
        <v>34</v>
      </c>
      <c r="O557" t="s">
        <v>50</v>
      </c>
      <c r="P557" t="s">
        <v>99</v>
      </c>
      <c r="Q557" s="1">
        <v>45228</v>
      </c>
      <c r="R557" s="1">
        <v>45200</v>
      </c>
      <c r="S557" t="s">
        <v>138</v>
      </c>
      <c r="T557" s="1">
        <v>45231</v>
      </c>
      <c r="U557">
        <v>2023</v>
      </c>
    </row>
    <row r="558" spans="1:21" x14ac:dyDescent="0.3">
      <c r="A558" t="s">
        <v>668</v>
      </c>
      <c r="B558" t="s">
        <v>72</v>
      </c>
      <c r="C558" t="s">
        <v>47</v>
      </c>
      <c r="D558" t="s">
        <v>154</v>
      </c>
      <c r="E558" s="1">
        <v>45085</v>
      </c>
      <c r="F558" t="s">
        <v>25</v>
      </c>
      <c r="G558" t="s">
        <v>64</v>
      </c>
      <c r="H558">
        <v>6</v>
      </c>
      <c r="I558">
        <v>54738</v>
      </c>
      <c r="J558">
        <v>328428</v>
      </c>
      <c r="K558">
        <v>191688</v>
      </c>
      <c r="L558">
        <v>33165</v>
      </c>
      <c r="M558">
        <v>103575</v>
      </c>
      <c r="N558">
        <v>14</v>
      </c>
      <c r="O558" t="s">
        <v>61</v>
      </c>
      <c r="P558" t="s">
        <v>84</v>
      </c>
      <c r="Q558" s="1">
        <v>45081</v>
      </c>
      <c r="R558" s="1">
        <v>45017</v>
      </c>
      <c r="S558" t="s">
        <v>35</v>
      </c>
      <c r="T558" s="1">
        <v>45078</v>
      </c>
      <c r="U558">
        <v>2023</v>
      </c>
    </row>
    <row r="559" spans="1:21" x14ac:dyDescent="0.3">
      <c r="A559" t="s">
        <v>669</v>
      </c>
      <c r="B559" t="s">
        <v>37</v>
      </c>
      <c r="C559" t="s">
        <v>38</v>
      </c>
      <c r="D559" t="s">
        <v>205</v>
      </c>
      <c r="E559" s="1">
        <v>45194</v>
      </c>
      <c r="F559" t="s">
        <v>57</v>
      </c>
      <c r="G559" t="s">
        <v>98</v>
      </c>
      <c r="H559">
        <v>6</v>
      </c>
      <c r="I559">
        <v>40138</v>
      </c>
      <c r="J559">
        <v>240828</v>
      </c>
      <c r="K559">
        <v>92183</v>
      </c>
      <c r="L559">
        <v>44318</v>
      </c>
      <c r="M559">
        <v>104327</v>
      </c>
      <c r="N559">
        <v>27</v>
      </c>
      <c r="O559" t="s">
        <v>61</v>
      </c>
      <c r="P559" t="s">
        <v>51</v>
      </c>
      <c r="Q559" s="1">
        <v>45193</v>
      </c>
      <c r="R559" s="1">
        <v>45108</v>
      </c>
      <c r="S559" t="s">
        <v>104</v>
      </c>
      <c r="T559" s="1">
        <v>45170</v>
      </c>
      <c r="U559">
        <v>2023</v>
      </c>
    </row>
    <row r="560" spans="1:21" x14ac:dyDescent="0.3">
      <c r="A560" t="s">
        <v>670</v>
      </c>
      <c r="B560" t="s">
        <v>22</v>
      </c>
      <c r="C560" t="s">
        <v>23</v>
      </c>
      <c r="D560" t="s">
        <v>142</v>
      </c>
      <c r="E560" s="1">
        <v>45189</v>
      </c>
      <c r="F560" t="s">
        <v>49</v>
      </c>
      <c r="G560" t="s">
        <v>26</v>
      </c>
      <c r="H560">
        <v>3</v>
      </c>
      <c r="I560">
        <v>11623</v>
      </c>
      <c r="J560">
        <v>34869</v>
      </c>
      <c r="K560">
        <v>19287</v>
      </c>
      <c r="L560">
        <v>6491</v>
      </c>
      <c r="M560">
        <v>9091</v>
      </c>
      <c r="N560">
        <v>0</v>
      </c>
      <c r="O560" t="s">
        <v>42</v>
      </c>
      <c r="P560" t="s">
        <v>43</v>
      </c>
      <c r="Q560" s="1">
        <v>45186</v>
      </c>
      <c r="R560" s="1">
        <v>45108</v>
      </c>
      <c r="S560" t="s">
        <v>104</v>
      </c>
      <c r="T560" s="1">
        <v>45170</v>
      </c>
      <c r="U560">
        <v>2023</v>
      </c>
    </row>
    <row r="561" spans="1:21" x14ac:dyDescent="0.3">
      <c r="A561" t="s">
        <v>671</v>
      </c>
      <c r="B561" t="s">
        <v>22</v>
      </c>
      <c r="C561" t="s">
        <v>23</v>
      </c>
      <c r="D561" t="s">
        <v>106</v>
      </c>
      <c r="E561" s="1">
        <v>45064</v>
      </c>
      <c r="F561" t="s">
        <v>25</v>
      </c>
      <c r="G561" t="s">
        <v>58</v>
      </c>
      <c r="H561">
        <v>7</v>
      </c>
      <c r="I561">
        <v>68795</v>
      </c>
      <c r="J561">
        <v>481565</v>
      </c>
      <c r="K561">
        <v>234112</v>
      </c>
      <c r="L561">
        <v>52156</v>
      </c>
      <c r="M561">
        <v>195297</v>
      </c>
      <c r="N561">
        <v>32</v>
      </c>
      <c r="O561" t="s">
        <v>61</v>
      </c>
      <c r="P561" t="s">
        <v>84</v>
      </c>
      <c r="Q561" s="1">
        <v>45060</v>
      </c>
      <c r="R561" s="1">
        <v>45017</v>
      </c>
      <c r="S561" t="s">
        <v>68</v>
      </c>
      <c r="T561" s="1">
        <v>45047</v>
      </c>
      <c r="U561">
        <v>2023</v>
      </c>
    </row>
    <row r="562" spans="1:21" x14ac:dyDescent="0.3">
      <c r="A562" t="s">
        <v>672</v>
      </c>
      <c r="B562" t="s">
        <v>46</v>
      </c>
      <c r="C562" t="s">
        <v>47</v>
      </c>
      <c r="D562" t="s">
        <v>108</v>
      </c>
      <c r="E562" s="1">
        <v>45177</v>
      </c>
      <c r="F562" t="s">
        <v>57</v>
      </c>
      <c r="G562" t="s">
        <v>26</v>
      </c>
      <c r="H562">
        <v>9</v>
      </c>
      <c r="I562">
        <v>29676</v>
      </c>
      <c r="J562">
        <v>267084</v>
      </c>
      <c r="K562">
        <v>136695</v>
      </c>
      <c r="L562">
        <v>27378</v>
      </c>
      <c r="M562">
        <v>103011</v>
      </c>
      <c r="N562">
        <v>26</v>
      </c>
      <c r="O562" t="s">
        <v>27</v>
      </c>
      <c r="P562" t="s">
        <v>99</v>
      </c>
      <c r="Q562" s="1">
        <v>45172</v>
      </c>
      <c r="R562" s="1">
        <v>45108</v>
      </c>
      <c r="S562" t="s">
        <v>104</v>
      </c>
      <c r="T562" s="1">
        <v>45170</v>
      </c>
      <c r="U562">
        <v>2023</v>
      </c>
    </row>
    <row r="563" spans="1:21" x14ac:dyDescent="0.3">
      <c r="A563" t="s">
        <v>673</v>
      </c>
      <c r="B563" t="s">
        <v>31</v>
      </c>
      <c r="C563" t="s">
        <v>23</v>
      </c>
      <c r="D563" t="s">
        <v>301</v>
      </c>
      <c r="E563" s="1">
        <v>45138</v>
      </c>
      <c r="F563" t="s">
        <v>25</v>
      </c>
      <c r="G563" t="s">
        <v>98</v>
      </c>
      <c r="H563">
        <v>8</v>
      </c>
      <c r="I563">
        <v>44222</v>
      </c>
      <c r="J563">
        <v>353776</v>
      </c>
      <c r="K563">
        <v>128889</v>
      </c>
      <c r="L563">
        <v>55040</v>
      </c>
      <c r="M563">
        <v>169847</v>
      </c>
      <c r="N563">
        <v>12</v>
      </c>
      <c r="O563" t="s">
        <v>34</v>
      </c>
      <c r="P563" t="s">
        <v>51</v>
      </c>
      <c r="Q563" s="1">
        <v>45137</v>
      </c>
      <c r="R563" s="1">
        <v>45108</v>
      </c>
      <c r="S563" t="s">
        <v>29</v>
      </c>
      <c r="T563" s="1">
        <v>45108</v>
      </c>
      <c r="U563">
        <v>2023</v>
      </c>
    </row>
    <row r="564" spans="1:21" x14ac:dyDescent="0.3">
      <c r="A564" t="s">
        <v>674</v>
      </c>
      <c r="B564" t="s">
        <v>72</v>
      </c>
      <c r="C564" t="s">
        <v>47</v>
      </c>
      <c r="D564" t="s">
        <v>145</v>
      </c>
      <c r="E564" s="1">
        <v>44944</v>
      </c>
      <c r="F564" t="s">
        <v>40</v>
      </c>
      <c r="G564" t="s">
        <v>33</v>
      </c>
      <c r="H564">
        <v>8</v>
      </c>
      <c r="I564">
        <v>65778</v>
      </c>
      <c r="J564">
        <v>526224</v>
      </c>
      <c r="K564">
        <v>202586</v>
      </c>
      <c r="L564">
        <v>62982</v>
      </c>
      <c r="M564">
        <v>260656</v>
      </c>
      <c r="N564">
        <v>23</v>
      </c>
      <c r="O564" t="s">
        <v>50</v>
      </c>
      <c r="P564" t="s">
        <v>43</v>
      </c>
      <c r="Q564" s="1">
        <v>44941</v>
      </c>
      <c r="R564" s="1">
        <v>44927</v>
      </c>
      <c r="S564" t="s">
        <v>95</v>
      </c>
      <c r="T564" s="1">
        <v>44927</v>
      </c>
      <c r="U564">
        <v>2023</v>
      </c>
    </row>
    <row r="565" spans="1:21" x14ac:dyDescent="0.3">
      <c r="A565" t="s">
        <v>675</v>
      </c>
      <c r="B565" t="s">
        <v>46</v>
      </c>
      <c r="C565" t="s">
        <v>47</v>
      </c>
      <c r="D565" t="s">
        <v>168</v>
      </c>
      <c r="E565" s="1">
        <v>45222</v>
      </c>
      <c r="F565" t="s">
        <v>40</v>
      </c>
      <c r="G565" t="s">
        <v>58</v>
      </c>
      <c r="H565">
        <v>7</v>
      </c>
      <c r="I565">
        <v>11950</v>
      </c>
      <c r="J565">
        <v>83650</v>
      </c>
      <c r="K565">
        <v>34102</v>
      </c>
      <c r="L565">
        <v>12061</v>
      </c>
      <c r="M565">
        <v>37487</v>
      </c>
      <c r="N565">
        <v>16</v>
      </c>
      <c r="O565" t="s">
        <v>61</v>
      </c>
      <c r="P565" t="s">
        <v>51</v>
      </c>
      <c r="Q565" s="1">
        <v>45221</v>
      </c>
      <c r="R565" s="1">
        <v>45200</v>
      </c>
      <c r="S565" t="s">
        <v>52</v>
      </c>
      <c r="T565" s="1">
        <v>45200</v>
      </c>
      <c r="U565">
        <v>2023</v>
      </c>
    </row>
    <row r="566" spans="1:21" x14ac:dyDescent="0.3">
      <c r="A566" t="s">
        <v>676</v>
      </c>
      <c r="B566" t="s">
        <v>72</v>
      </c>
      <c r="C566" t="s">
        <v>47</v>
      </c>
      <c r="D566" t="s">
        <v>87</v>
      </c>
      <c r="E566" s="1">
        <v>45129</v>
      </c>
      <c r="F566" t="s">
        <v>40</v>
      </c>
      <c r="G566" t="s">
        <v>26</v>
      </c>
      <c r="H566">
        <v>10</v>
      </c>
      <c r="I566">
        <v>13416</v>
      </c>
      <c r="J566">
        <v>134160</v>
      </c>
      <c r="K566">
        <v>68610</v>
      </c>
      <c r="L566">
        <v>21602</v>
      </c>
      <c r="M566">
        <v>43948</v>
      </c>
      <c r="N566">
        <v>8</v>
      </c>
      <c r="O566" t="s">
        <v>34</v>
      </c>
      <c r="P566" t="s">
        <v>67</v>
      </c>
      <c r="Q566" s="1">
        <v>45123</v>
      </c>
      <c r="R566" s="1">
        <v>45108</v>
      </c>
      <c r="S566" t="s">
        <v>29</v>
      </c>
      <c r="T566" s="1">
        <v>45108</v>
      </c>
      <c r="U566">
        <v>2023</v>
      </c>
    </row>
    <row r="567" spans="1:21" x14ac:dyDescent="0.3">
      <c r="A567" t="s">
        <v>677</v>
      </c>
      <c r="B567" t="s">
        <v>37</v>
      </c>
      <c r="C567" t="s">
        <v>38</v>
      </c>
      <c r="D567" t="s">
        <v>219</v>
      </c>
      <c r="E567" s="1">
        <v>45155</v>
      </c>
      <c r="F567" t="s">
        <v>40</v>
      </c>
      <c r="G567" t="s">
        <v>41</v>
      </c>
      <c r="H567">
        <v>5</v>
      </c>
      <c r="I567">
        <v>15195</v>
      </c>
      <c r="J567">
        <v>75975</v>
      </c>
      <c r="K567">
        <v>26908</v>
      </c>
      <c r="L567">
        <v>9459</v>
      </c>
      <c r="M567">
        <v>39608</v>
      </c>
      <c r="N567">
        <v>25</v>
      </c>
      <c r="O567" t="s">
        <v>50</v>
      </c>
      <c r="P567" t="s">
        <v>84</v>
      </c>
      <c r="Q567" s="1">
        <v>45151</v>
      </c>
      <c r="R567" s="1">
        <v>45108</v>
      </c>
      <c r="S567" t="s">
        <v>92</v>
      </c>
      <c r="T567" s="1">
        <v>45139</v>
      </c>
      <c r="U567">
        <v>2023</v>
      </c>
    </row>
    <row r="568" spans="1:21" x14ac:dyDescent="0.3">
      <c r="A568" t="s">
        <v>678</v>
      </c>
      <c r="B568" t="s">
        <v>37</v>
      </c>
      <c r="C568" t="s">
        <v>38</v>
      </c>
      <c r="D568" t="s">
        <v>73</v>
      </c>
      <c r="E568" s="1">
        <v>45075</v>
      </c>
      <c r="F568" t="s">
        <v>57</v>
      </c>
      <c r="G568" t="s">
        <v>33</v>
      </c>
      <c r="H568">
        <v>9</v>
      </c>
      <c r="I568">
        <v>27369</v>
      </c>
      <c r="J568">
        <v>246321</v>
      </c>
      <c r="K568">
        <v>128609</v>
      </c>
      <c r="L568">
        <v>44417</v>
      </c>
      <c r="M568">
        <v>73295</v>
      </c>
      <c r="N568">
        <v>23</v>
      </c>
      <c r="O568" t="s">
        <v>61</v>
      </c>
      <c r="P568" t="s">
        <v>51</v>
      </c>
      <c r="Q568" s="1">
        <v>45074</v>
      </c>
      <c r="R568" s="1">
        <v>45017</v>
      </c>
      <c r="S568" t="s">
        <v>68</v>
      </c>
      <c r="T568" s="1">
        <v>45047</v>
      </c>
      <c r="U568">
        <v>2023</v>
      </c>
    </row>
    <row r="569" spans="1:21" x14ac:dyDescent="0.3">
      <c r="A569" t="s">
        <v>679</v>
      </c>
      <c r="B569" t="s">
        <v>31</v>
      </c>
      <c r="C569" t="s">
        <v>23</v>
      </c>
      <c r="D569" t="s">
        <v>301</v>
      </c>
      <c r="E569" s="1">
        <v>45126</v>
      </c>
      <c r="F569" t="s">
        <v>49</v>
      </c>
      <c r="G569" t="s">
        <v>33</v>
      </c>
      <c r="H569">
        <v>7</v>
      </c>
      <c r="I569">
        <v>67066</v>
      </c>
      <c r="J569">
        <v>469462</v>
      </c>
      <c r="K569">
        <v>179459</v>
      </c>
      <c r="L569">
        <v>50564</v>
      </c>
      <c r="M569">
        <v>239439</v>
      </c>
      <c r="N569">
        <v>48</v>
      </c>
      <c r="O569" t="s">
        <v>42</v>
      </c>
      <c r="P569" t="s">
        <v>43</v>
      </c>
      <c r="Q569" s="1">
        <v>45123</v>
      </c>
      <c r="R569" s="1">
        <v>45108</v>
      </c>
      <c r="S569" t="s">
        <v>29</v>
      </c>
      <c r="T569" s="1">
        <v>45108</v>
      </c>
      <c r="U569">
        <v>2023</v>
      </c>
    </row>
    <row r="570" spans="1:21" x14ac:dyDescent="0.3">
      <c r="A570" t="s">
        <v>680</v>
      </c>
      <c r="B570" t="s">
        <v>46</v>
      </c>
      <c r="C570" t="s">
        <v>47</v>
      </c>
      <c r="D570" t="s">
        <v>221</v>
      </c>
      <c r="E570" s="1">
        <v>44990</v>
      </c>
      <c r="F570" t="s">
        <v>57</v>
      </c>
      <c r="G570" t="s">
        <v>58</v>
      </c>
      <c r="H570">
        <v>4</v>
      </c>
      <c r="I570">
        <v>45087</v>
      </c>
      <c r="J570">
        <v>180348</v>
      </c>
      <c r="K570">
        <v>92427</v>
      </c>
      <c r="L570">
        <v>26451</v>
      </c>
      <c r="M570">
        <v>61470</v>
      </c>
      <c r="N570">
        <v>11</v>
      </c>
      <c r="O570" t="s">
        <v>34</v>
      </c>
      <c r="P570" t="s">
        <v>28</v>
      </c>
      <c r="Q570" s="1">
        <v>44990</v>
      </c>
      <c r="R570" s="1">
        <v>44927</v>
      </c>
      <c r="S570" t="s">
        <v>44</v>
      </c>
      <c r="T570" s="1">
        <v>44986</v>
      </c>
      <c r="U570">
        <v>2023</v>
      </c>
    </row>
    <row r="571" spans="1:21" x14ac:dyDescent="0.3">
      <c r="A571" t="s">
        <v>681</v>
      </c>
      <c r="B571" t="s">
        <v>31</v>
      </c>
      <c r="C571" t="s">
        <v>23</v>
      </c>
      <c r="D571" t="s">
        <v>205</v>
      </c>
      <c r="E571" s="1">
        <v>45133</v>
      </c>
      <c r="F571" t="s">
        <v>40</v>
      </c>
      <c r="G571" t="s">
        <v>64</v>
      </c>
      <c r="H571">
        <v>10</v>
      </c>
      <c r="I571">
        <v>47392</v>
      </c>
      <c r="J571">
        <v>473920</v>
      </c>
      <c r="K571">
        <v>189931</v>
      </c>
      <c r="L571">
        <v>83693</v>
      </c>
      <c r="M571">
        <v>200296</v>
      </c>
      <c r="N571">
        <v>9</v>
      </c>
      <c r="O571" t="s">
        <v>61</v>
      </c>
      <c r="P571" t="s">
        <v>43</v>
      </c>
      <c r="Q571" s="1">
        <v>45130</v>
      </c>
      <c r="R571" s="1">
        <v>45108</v>
      </c>
      <c r="S571" t="s">
        <v>29</v>
      </c>
      <c r="T571" s="1">
        <v>45108</v>
      </c>
      <c r="U571">
        <v>2023</v>
      </c>
    </row>
    <row r="572" spans="1:21" x14ac:dyDescent="0.3">
      <c r="A572" t="s">
        <v>682</v>
      </c>
      <c r="B572" t="s">
        <v>72</v>
      </c>
      <c r="C572" t="s">
        <v>47</v>
      </c>
      <c r="D572" t="s">
        <v>205</v>
      </c>
      <c r="E572" s="1">
        <v>45141</v>
      </c>
      <c r="F572" t="s">
        <v>40</v>
      </c>
      <c r="G572" t="s">
        <v>58</v>
      </c>
      <c r="H572">
        <v>10</v>
      </c>
      <c r="I572">
        <v>35208</v>
      </c>
      <c r="J572">
        <v>352080</v>
      </c>
      <c r="K572">
        <v>149954</v>
      </c>
      <c r="L572">
        <v>54950</v>
      </c>
      <c r="M572">
        <v>147176</v>
      </c>
      <c r="N572">
        <v>5</v>
      </c>
      <c r="O572" t="s">
        <v>42</v>
      </c>
      <c r="P572" t="s">
        <v>84</v>
      </c>
      <c r="Q572" s="1">
        <v>45137</v>
      </c>
      <c r="R572" s="1">
        <v>45108</v>
      </c>
      <c r="S572" t="s">
        <v>92</v>
      </c>
      <c r="T572" s="1">
        <v>45139</v>
      </c>
      <c r="U572">
        <v>2023</v>
      </c>
    </row>
    <row r="573" spans="1:21" x14ac:dyDescent="0.3">
      <c r="A573" t="s">
        <v>683</v>
      </c>
      <c r="B573" t="s">
        <v>22</v>
      </c>
      <c r="C573" t="s">
        <v>23</v>
      </c>
      <c r="D573" t="s">
        <v>123</v>
      </c>
      <c r="E573" s="1">
        <v>45013</v>
      </c>
      <c r="F573" t="s">
        <v>25</v>
      </c>
      <c r="G573" t="s">
        <v>64</v>
      </c>
      <c r="H573">
        <v>7</v>
      </c>
      <c r="I573">
        <v>55971</v>
      </c>
      <c r="J573">
        <v>391797</v>
      </c>
      <c r="K573">
        <v>223323</v>
      </c>
      <c r="L573">
        <v>68232</v>
      </c>
      <c r="M573">
        <v>100242</v>
      </c>
      <c r="N573">
        <v>16</v>
      </c>
      <c r="O573" t="s">
        <v>61</v>
      </c>
      <c r="P573" t="s">
        <v>62</v>
      </c>
      <c r="Q573" s="1">
        <v>45011</v>
      </c>
      <c r="R573" s="1">
        <v>44927</v>
      </c>
      <c r="S573" t="s">
        <v>44</v>
      </c>
      <c r="T573" s="1">
        <v>44986</v>
      </c>
      <c r="U573">
        <v>2023</v>
      </c>
    </row>
    <row r="574" spans="1:21" x14ac:dyDescent="0.3">
      <c r="A574" t="s">
        <v>684</v>
      </c>
      <c r="B574" t="s">
        <v>22</v>
      </c>
      <c r="C574" t="s">
        <v>23</v>
      </c>
      <c r="D574" t="s">
        <v>87</v>
      </c>
      <c r="E574" s="1">
        <v>45011</v>
      </c>
      <c r="F574" t="s">
        <v>49</v>
      </c>
      <c r="G574" t="s">
        <v>64</v>
      </c>
      <c r="H574">
        <v>4</v>
      </c>
      <c r="I574">
        <v>15618</v>
      </c>
      <c r="J574">
        <v>62472</v>
      </c>
      <c r="K574">
        <v>35928</v>
      </c>
      <c r="L574">
        <v>8403</v>
      </c>
      <c r="M574">
        <v>18141</v>
      </c>
      <c r="N574">
        <v>24</v>
      </c>
      <c r="O574" t="s">
        <v>34</v>
      </c>
      <c r="P574" t="s">
        <v>28</v>
      </c>
      <c r="Q574" s="1">
        <v>45011</v>
      </c>
      <c r="R574" s="1">
        <v>44927</v>
      </c>
      <c r="S574" t="s">
        <v>44</v>
      </c>
      <c r="T574" s="1">
        <v>44986</v>
      </c>
      <c r="U574">
        <v>2023</v>
      </c>
    </row>
    <row r="575" spans="1:21" x14ac:dyDescent="0.3">
      <c r="A575" t="s">
        <v>685</v>
      </c>
      <c r="B575" t="s">
        <v>46</v>
      </c>
      <c r="C575" t="s">
        <v>47</v>
      </c>
      <c r="D575" t="s">
        <v>154</v>
      </c>
      <c r="E575" s="1">
        <v>45234</v>
      </c>
      <c r="F575" t="s">
        <v>40</v>
      </c>
      <c r="G575" t="s">
        <v>41</v>
      </c>
      <c r="H575">
        <v>1</v>
      </c>
      <c r="I575">
        <v>58642</v>
      </c>
      <c r="J575">
        <v>58642</v>
      </c>
      <c r="K575">
        <v>29905</v>
      </c>
      <c r="L575">
        <v>10011</v>
      </c>
      <c r="M575">
        <v>18726</v>
      </c>
      <c r="N575">
        <v>38</v>
      </c>
      <c r="O575" t="s">
        <v>61</v>
      </c>
      <c r="P575" t="s">
        <v>67</v>
      </c>
      <c r="Q575" s="1">
        <v>45228</v>
      </c>
      <c r="R575" s="1">
        <v>45200</v>
      </c>
      <c r="S575" t="s">
        <v>138</v>
      </c>
      <c r="T575" s="1">
        <v>45231</v>
      </c>
      <c r="U575">
        <v>2023</v>
      </c>
    </row>
    <row r="576" spans="1:21" x14ac:dyDescent="0.3">
      <c r="A576" t="s">
        <v>686</v>
      </c>
      <c r="B576" t="s">
        <v>31</v>
      </c>
      <c r="C576" t="s">
        <v>23</v>
      </c>
      <c r="D576" t="s">
        <v>121</v>
      </c>
      <c r="E576" s="1">
        <v>44999</v>
      </c>
      <c r="F576" t="s">
        <v>25</v>
      </c>
      <c r="G576" t="s">
        <v>64</v>
      </c>
      <c r="H576">
        <v>8</v>
      </c>
      <c r="I576">
        <v>32234</v>
      </c>
      <c r="J576">
        <v>257872</v>
      </c>
      <c r="K576">
        <v>78436</v>
      </c>
      <c r="L576">
        <v>49820</v>
      </c>
      <c r="M576">
        <v>129616</v>
      </c>
      <c r="N576">
        <v>47</v>
      </c>
      <c r="O576" t="s">
        <v>27</v>
      </c>
      <c r="P576" t="s">
        <v>62</v>
      </c>
      <c r="Q576" s="1">
        <v>44997</v>
      </c>
      <c r="R576" s="1">
        <v>44927</v>
      </c>
      <c r="S576" t="s">
        <v>44</v>
      </c>
      <c r="T576" s="1">
        <v>44986</v>
      </c>
      <c r="U576">
        <v>2023</v>
      </c>
    </row>
    <row r="577" spans="1:21" x14ac:dyDescent="0.3">
      <c r="A577" t="s">
        <v>687</v>
      </c>
      <c r="B577" t="s">
        <v>22</v>
      </c>
      <c r="C577" t="s">
        <v>23</v>
      </c>
      <c r="D577" t="s">
        <v>125</v>
      </c>
      <c r="E577" s="1">
        <v>45165</v>
      </c>
      <c r="F577" t="s">
        <v>49</v>
      </c>
      <c r="G577" t="s">
        <v>26</v>
      </c>
      <c r="H577">
        <v>5</v>
      </c>
      <c r="I577">
        <v>30131</v>
      </c>
      <c r="J577">
        <v>150655</v>
      </c>
      <c r="K577">
        <v>66721</v>
      </c>
      <c r="L577">
        <v>21331</v>
      </c>
      <c r="M577">
        <v>62603</v>
      </c>
      <c r="N577">
        <v>12</v>
      </c>
      <c r="O577" t="s">
        <v>27</v>
      </c>
      <c r="P577" t="s">
        <v>28</v>
      </c>
      <c r="Q577" s="1">
        <v>45165</v>
      </c>
      <c r="R577" s="1">
        <v>45108</v>
      </c>
      <c r="S577" t="s">
        <v>92</v>
      </c>
      <c r="T577" s="1">
        <v>45139</v>
      </c>
      <c r="U577">
        <v>2023</v>
      </c>
    </row>
    <row r="578" spans="1:21" x14ac:dyDescent="0.3">
      <c r="A578" t="s">
        <v>688</v>
      </c>
      <c r="B578" t="s">
        <v>72</v>
      </c>
      <c r="C578" t="s">
        <v>47</v>
      </c>
      <c r="D578" t="s">
        <v>135</v>
      </c>
      <c r="E578" s="1">
        <v>45082</v>
      </c>
      <c r="F578" t="s">
        <v>25</v>
      </c>
      <c r="G578" t="s">
        <v>33</v>
      </c>
      <c r="H578">
        <v>6</v>
      </c>
      <c r="I578">
        <v>36988</v>
      </c>
      <c r="J578">
        <v>221928</v>
      </c>
      <c r="K578">
        <v>81175</v>
      </c>
      <c r="L578">
        <v>25045</v>
      </c>
      <c r="M578">
        <v>115708</v>
      </c>
      <c r="N578">
        <v>37</v>
      </c>
      <c r="O578" t="s">
        <v>34</v>
      </c>
      <c r="P578" t="s">
        <v>51</v>
      </c>
      <c r="Q578" s="1">
        <v>45081</v>
      </c>
      <c r="R578" s="1">
        <v>45017</v>
      </c>
      <c r="S578" t="s">
        <v>35</v>
      </c>
      <c r="T578" s="1">
        <v>45078</v>
      </c>
      <c r="U578">
        <v>2023</v>
      </c>
    </row>
    <row r="579" spans="1:21" x14ac:dyDescent="0.3">
      <c r="A579" t="s">
        <v>689</v>
      </c>
      <c r="B579" t="s">
        <v>37</v>
      </c>
      <c r="C579" t="s">
        <v>38</v>
      </c>
      <c r="D579" t="s">
        <v>60</v>
      </c>
      <c r="E579" s="1">
        <v>44955</v>
      </c>
      <c r="F579" t="s">
        <v>40</v>
      </c>
      <c r="G579" t="s">
        <v>33</v>
      </c>
      <c r="H579">
        <v>6</v>
      </c>
      <c r="I579">
        <v>14832</v>
      </c>
      <c r="J579">
        <v>88992</v>
      </c>
      <c r="K579">
        <v>29466</v>
      </c>
      <c r="L579">
        <v>13842</v>
      </c>
      <c r="M579">
        <v>45684</v>
      </c>
      <c r="N579">
        <v>7</v>
      </c>
      <c r="O579" t="s">
        <v>27</v>
      </c>
      <c r="P579" t="s">
        <v>28</v>
      </c>
      <c r="Q579" s="1">
        <v>44955</v>
      </c>
      <c r="R579" s="1">
        <v>44927</v>
      </c>
      <c r="S579" t="s">
        <v>95</v>
      </c>
      <c r="T579" s="1">
        <v>44927</v>
      </c>
      <c r="U579">
        <v>2023</v>
      </c>
    </row>
    <row r="580" spans="1:21" x14ac:dyDescent="0.3">
      <c r="A580" t="s">
        <v>690</v>
      </c>
      <c r="B580" t="s">
        <v>37</v>
      </c>
      <c r="C580" t="s">
        <v>38</v>
      </c>
      <c r="D580" t="s">
        <v>221</v>
      </c>
      <c r="E580" s="1">
        <v>45150</v>
      </c>
      <c r="F580" t="s">
        <v>57</v>
      </c>
      <c r="G580" t="s">
        <v>33</v>
      </c>
      <c r="H580">
        <v>10</v>
      </c>
      <c r="I580">
        <v>9639</v>
      </c>
      <c r="J580">
        <v>96390</v>
      </c>
      <c r="K580">
        <v>44885</v>
      </c>
      <c r="L580">
        <v>9948</v>
      </c>
      <c r="M580">
        <v>41557</v>
      </c>
      <c r="N580">
        <v>21</v>
      </c>
      <c r="O580" t="s">
        <v>27</v>
      </c>
      <c r="P580" t="s">
        <v>67</v>
      </c>
      <c r="Q580" s="1">
        <v>45144</v>
      </c>
      <c r="R580" s="1">
        <v>45108</v>
      </c>
      <c r="S580" t="s">
        <v>92</v>
      </c>
      <c r="T580" s="1">
        <v>45139</v>
      </c>
      <c r="U580">
        <v>2023</v>
      </c>
    </row>
    <row r="581" spans="1:21" x14ac:dyDescent="0.3">
      <c r="A581" t="s">
        <v>691</v>
      </c>
      <c r="B581" t="s">
        <v>72</v>
      </c>
      <c r="C581" t="s">
        <v>47</v>
      </c>
      <c r="D581" t="s">
        <v>137</v>
      </c>
      <c r="E581" s="1">
        <v>45222</v>
      </c>
      <c r="F581" t="s">
        <v>49</v>
      </c>
      <c r="G581" t="s">
        <v>33</v>
      </c>
      <c r="H581">
        <v>4</v>
      </c>
      <c r="I581">
        <v>2068</v>
      </c>
      <c r="J581">
        <v>8272</v>
      </c>
      <c r="K581">
        <v>2997</v>
      </c>
      <c r="L581">
        <v>1210</v>
      </c>
      <c r="M581">
        <v>4065</v>
      </c>
      <c r="N581">
        <v>22</v>
      </c>
      <c r="O581" t="s">
        <v>27</v>
      </c>
      <c r="P581" t="s">
        <v>51</v>
      </c>
      <c r="Q581" s="1">
        <v>45221</v>
      </c>
      <c r="R581" s="1">
        <v>45200</v>
      </c>
      <c r="S581" t="s">
        <v>52</v>
      </c>
      <c r="T581" s="1">
        <v>45200</v>
      </c>
      <c r="U581">
        <v>2023</v>
      </c>
    </row>
    <row r="582" spans="1:21" x14ac:dyDescent="0.3">
      <c r="A582" t="s">
        <v>692</v>
      </c>
      <c r="B582" t="s">
        <v>22</v>
      </c>
      <c r="C582" t="s">
        <v>23</v>
      </c>
      <c r="D582" t="s">
        <v>70</v>
      </c>
      <c r="E582" s="1">
        <v>45238</v>
      </c>
      <c r="F582" t="s">
        <v>40</v>
      </c>
      <c r="G582" t="s">
        <v>26</v>
      </c>
      <c r="H582">
        <v>3</v>
      </c>
      <c r="I582">
        <v>43244</v>
      </c>
      <c r="J582">
        <v>129732</v>
      </c>
      <c r="K582">
        <v>71441</v>
      </c>
      <c r="L582">
        <v>13246</v>
      </c>
      <c r="M582">
        <v>45045</v>
      </c>
      <c r="N582">
        <v>31</v>
      </c>
      <c r="O582" t="s">
        <v>42</v>
      </c>
      <c r="P582" t="s">
        <v>43</v>
      </c>
      <c r="Q582" s="1">
        <v>45235</v>
      </c>
      <c r="R582" s="1">
        <v>45200</v>
      </c>
      <c r="S582" t="s">
        <v>138</v>
      </c>
      <c r="T582" s="1">
        <v>45231</v>
      </c>
      <c r="U582">
        <v>2023</v>
      </c>
    </row>
    <row r="583" spans="1:21" x14ac:dyDescent="0.3">
      <c r="A583" t="s">
        <v>693</v>
      </c>
      <c r="B583" t="s">
        <v>72</v>
      </c>
      <c r="C583" t="s">
        <v>47</v>
      </c>
      <c r="D583" t="s">
        <v>142</v>
      </c>
      <c r="E583" s="1">
        <v>45247</v>
      </c>
      <c r="F583" t="s">
        <v>40</v>
      </c>
      <c r="G583" t="s">
        <v>64</v>
      </c>
      <c r="H583">
        <v>2</v>
      </c>
      <c r="I583">
        <v>45753</v>
      </c>
      <c r="J583">
        <v>91506</v>
      </c>
      <c r="K583">
        <v>51112</v>
      </c>
      <c r="L583">
        <v>17413</v>
      </c>
      <c r="M583">
        <v>22981</v>
      </c>
      <c r="N583">
        <v>26</v>
      </c>
      <c r="O583" t="s">
        <v>50</v>
      </c>
      <c r="P583" t="s">
        <v>99</v>
      </c>
      <c r="Q583" s="1">
        <v>45242</v>
      </c>
      <c r="R583" s="1">
        <v>45200</v>
      </c>
      <c r="S583" t="s">
        <v>138</v>
      </c>
      <c r="T583" s="1">
        <v>45231</v>
      </c>
      <c r="U583">
        <v>2023</v>
      </c>
    </row>
    <row r="584" spans="1:21" x14ac:dyDescent="0.3">
      <c r="A584" t="s">
        <v>694</v>
      </c>
      <c r="B584" t="s">
        <v>46</v>
      </c>
      <c r="C584" t="s">
        <v>47</v>
      </c>
      <c r="D584" t="s">
        <v>97</v>
      </c>
      <c r="E584" s="1">
        <v>44973</v>
      </c>
      <c r="F584" t="s">
        <v>49</v>
      </c>
      <c r="G584" t="s">
        <v>33</v>
      </c>
      <c r="H584">
        <v>1</v>
      </c>
      <c r="I584">
        <v>5112</v>
      </c>
      <c r="J584">
        <v>5112</v>
      </c>
      <c r="K584">
        <v>1676</v>
      </c>
      <c r="L584">
        <v>744</v>
      </c>
      <c r="M584">
        <v>2692</v>
      </c>
      <c r="N584">
        <v>19</v>
      </c>
      <c r="O584" t="s">
        <v>42</v>
      </c>
      <c r="P584" t="s">
        <v>84</v>
      </c>
      <c r="Q584" s="1">
        <v>44969</v>
      </c>
      <c r="R584" s="1">
        <v>44927</v>
      </c>
      <c r="S584" t="s">
        <v>85</v>
      </c>
      <c r="T584" s="1">
        <v>44958</v>
      </c>
      <c r="U584">
        <v>2023</v>
      </c>
    </row>
    <row r="585" spans="1:21" x14ac:dyDescent="0.3">
      <c r="A585" t="s">
        <v>695</v>
      </c>
      <c r="B585" t="s">
        <v>46</v>
      </c>
      <c r="C585" t="s">
        <v>47</v>
      </c>
      <c r="D585" t="s">
        <v>125</v>
      </c>
      <c r="E585" s="1">
        <v>44997</v>
      </c>
      <c r="F585" t="s">
        <v>40</v>
      </c>
      <c r="G585" t="s">
        <v>33</v>
      </c>
      <c r="H585">
        <v>9</v>
      </c>
      <c r="I585">
        <v>10464</v>
      </c>
      <c r="J585">
        <v>94176</v>
      </c>
      <c r="K585">
        <v>37012</v>
      </c>
      <c r="L585">
        <v>14024</v>
      </c>
      <c r="M585">
        <v>43140</v>
      </c>
      <c r="N585">
        <v>26</v>
      </c>
      <c r="O585" t="s">
        <v>50</v>
      </c>
      <c r="P585" t="s">
        <v>28</v>
      </c>
      <c r="Q585" s="1">
        <v>44997</v>
      </c>
      <c r="R585" s="1">
        <v>44927</v>
      </c>
      <c r="S585" t="s">
        <v>44</v>
      </c>
      <c r="T585" s="1">
        <v>44986</v>
      </c>
      <c r="U585">
        <v>2023</v>
      </c>
    </row>
    <row r="586" spans="1:21" x14ac:dyDescent="0.3">
      <c r="A586" t="s">
        <v>696</v>
      </c>
      <c r="B586" t="s">
        <v>22</v>
      </c>
      <c r="C586" t="s">
        <v>23</v>
      </c>
      <c r="D586" t="s">
        <v>135</v>
      </c>
      <c r="E586" s="1">
        <v>45058</v>
      </c>
      <c r="F586" t="s">
        <v>25</v>
      </c>
      <c r="G586" t="s">
        <v>41</v>
      </c>
      <c r="H586">
        <v>7</v>
      </c>
      <c r="I586">
        <v>59122</v>
      </c>
      <c r="J586">
        <v>413854</v>
      </c>
      <c r="K586">
        <v>191899</v>
      </c>
      <c r="L586">
        <v>68016</v>
      </c>
      <c r="M586">
        <v>153939</v>
      </c>
      <c r="N586">
        <v>4</v>
      </c>
      <c r="O586" t="s">
        <v>50</v>
      </c>
      <c r="P586" t="s">
        <v>99</v>
      </c>
      <c r="Q586" s="1">
        <v>45053</v>
      </c>
      <c r="R586" s="1">
        <v>45017</v>
      </c>
      <c r="S586" t="s">
        <v>68</v>
      </c>
      <c r="T586" s="1">
        <v>45047</v>
      </c>
      <c r="U586">
        <v>2023</v>
      </c>
    </row>
    <row r="587" spans="1:21" x14ac:dyDescent="0.3">
      <c r="A587" t="s">
        <v>697</v>
      </c>
      <c r="B587" t="s">
        <v>72</v>
      </c>
      <c r="C587" t="s">
        <v>47</v>
      </c>
      <c r="D587" t="s">
        <v>154</v>
      </c>
      <c r="E587" s="1">
        <v>44984</v>
      </c>
      <c r="F587" t="s">
        <v>57</v>
      </c>
      <c r="G587" t="s">
        <v>58</v>
      </c>
      <c r="H587">
        <v>3</v>
      </c>
      <c r="I587">
        <v>30222</v>
      </c>
      <c r="J587">
        <v>90666</v>
      </c>
      <c r="K587">
        <v>34561</v>
      </c>
      <c r="L587">
        <v>14675</v>
      </c>
      <c r="M587">
        <v>41430</v>
      </c>
      <c r="N587">
        <v>49</v>
      </c>
      <c r="O587" t="s">
        <v>27</v>
      </c>
      <c r="P587" t="s">
        <v>51</v>
      </c>
      <c r="Q587" s="1">
        <v>44983</v>
      </c>
      <c r="R587" s="1">
        <v>44927</v>
      </c>
      <c r="S587" t="s">
        <v>85</v>
      </c>
      <c r="T587" s="1">
        <v>44958</v>
      </c>
      <c r="U587">
        <v>2023</v>
      </c>
    </row>
    <row r="588" spans="1:21" x14ac:dyDescent="0.3">
      <c r="A588" t="s">
        <v>698</v>
      </c>
      <c r="B588" t="s">
        <v>22</v>
      </c>
      <c r="C588" t="s">
        <v>23</v>
      </c>
      <c r="D588" t="s">
        <v>111</v>
      </c>
      <c r="E588" s="1">
        <v>45116</v>
      </c>
      <c r="F588" t="s">
        <v>40</v>
      </c>
      <c r="G588" t="s">
        <v>81</v>
      </c>
      <c r="H588">
        <v>4</v>
      </c>
      <c r="I588">
        <v>30039</v>
      </c>
      <c r="J588">
        <v>120156</v>
      </c>
      <c r="K588">
        <v>48314</v>
      </c>
      <c r="L588">
        <v>21926</v>
      </c>
      <c r="M588">
        <v>49916</v>
      </c>
      <c r="N588">
        <v>40</v>
      </c>
      <c r="O588" t="s">
        <v>34</v>
      </c>
      <c r="P588" t="s">
        <v>28</v>
      </c>
      <c r="Q588" s="1">
        <v>45116</v>
      </c>
      <c r="R588" s="1">
        <v>45108</v>
      </c>
      <c r="S588" t="s">
        <v>29</v>
      </c>
      <c r="T588" s="1">
        <v>45108</v>
      </c>
      <c r="U588">
        <v>2023</v>
      </c>
    </row>
    <row r="589" spans="1:21" x14ac:dyDescent="0.3">
      <c r="A589" t="s">
        <v>699</v>
      </c>
      <c r="B589" t="s">
        <v>22</v>
      </c>
      <c r="C589" t="s">
        <v>23</v>
      </c>
      <c r="D589" t="s">
        <v>101</v>
      </c>
      <c r="E589" s="1">
        <v>45131</v>
      </c>
      <c r="F589" t="s">
        <v>57</v>
      </c>
      <c r="G589" t="s">
        <v>81</v>
      </c>
      <c r="H589">
        <v>7</v>
      </c>
      <c r="I589">
        <v>17683</v>
      </c>
      <c r="J589">
        <v>123781</v>
      </c>
      <c r="K589">
        <v>52241</v>
      </c>
      <c r="L589">
        <v>22641</v>
      </c>
      <c r="M589">
        <v>48899</v>
      </c>
      <c r="N589">
        <v>43</v>
      </c>
      <c r="O589" t="s">
        <v>50</v>
      </c>
      <c r="P589" t="s">
        <v>51</v>
      </c>
      <c r="Q589" s="1">
        <v>45130</v>
      </c>
      <c r="R589" s="1">
        <v>45108</v>
      </c>
      <c r="S589" t="s">
        <v>29</v>
      </c>
      <c r="T589" s="1">
        <v>45108</v>
      </c>
      <c r="U589">
        <v>2023</v>
      </c>
    </row>
    <row r="590" spans="1:21" x14ac:dyDescent="0.3">
      <c r="A590" t="s">
        <v>700</v>
      </c>
      <c r="B590" t="s">
        <v>31</v>
      </c>
      <c r="C590" t="s">
        <v>23</v>
      </c>
      <c r="D590" t="s">
        <v>168</v>
      </c>
      <c r="E590" s="1">
        <v>45087</v>
      </c>
      <c r="F590" t="s">
        <v>40</v>
      </c>
      <c r="G590" t="s">
        <v>81</v>
      </c>
      <c r="H590">
        <v>1</v>
      </c>
      <c r="I590">
        <v>26640</v>
      </c>
      <c r="J590">
        <v>26640</v>
      </c>
      <c r="K590">
        <v>15126</v>
      </c>
      <c r="L590">
        <v>3154</v>
      </c>
      <c r="M590">
        <v>8360</v>
      </c>
      <c r="N590">
        <v>29</v>
      </c>
      <c r="O590" t="s">
        <v>27</v>
      </c>
      <c r="P590" t="s">
        <v>67</v>
      </c>
      <c r="Q590" s="1">
        <v>45081</v>
      </c>
      <c r="R590" s="1">
        <v>45017</v>
      </c>
      <c r="S590" t="s">
        <v>35</v>
      </c>
      <c r="T590" s="1">
        <v>45078</v>
      </c>
      <c r="U590">
        <v>2023</v>
      </c>
    </row>
    <row r="591" spans="1:21" x14ac:dyDescent="0.3">
      <c r="A591" t="s">
        <v>701</v>
      </c>
      <c r="B591" t="s">
        <v>72</v>
      </c>
      <c r="C591" t="s">
        <v>47</v>
      </c>
      <c r="D591" t="s">
        <v>114</v>
      </c>
      <c r="E591" s="1">
        <v>45056</v>
      </c>
      <c r="F591" t="s">
        <v>57</v>
      </c>
      <c r="G591" t="s">
        <v>98</v>
      </c>
      <c r="H591">
        <v>10</v>
      </c>
      <c r="I591">
        <v>61603</v>
      </c>
      <c r="J591">
        <v>616030</v>
      </c>
      <c r="K591">
        <v>332492</v>
      </c>
      <c r="L591">
        <v>101322</v>
      </c>
      <c r="M591">
        <v>182216</v>
      </c>
      <c r="N591">
        <v>11</v>
      </c>
      <c r="O591" t="s">
        <v>27</v>
      </c>
      <c r="P591" t="s">
        <v>43</v>
      </c>
      <c r="Q591" s="1">
        <v>45053</v>
      </c>
      <c r="R591" s="1">
        <v>45017</v>
      </c>
      <c r="S591" t="s">
        <v>68</v>
      </c>
      <c r="T591" s="1">
        <v>45047</v>
      </c>
      <c r="U591">
        <v>2023</v>
      </c>
    </row>
    <row r="592" spans="1:21" x14ac:dyDescent="0.3">
      <c r="A592" t="s">
        <v>702</v>
      </c>
      <c r="B592" t="s">
        <v>37</v>
      </c>
      <c r="C592" t="s">
        <v>38</v>
      </c>
      <c r="D592" t="s">
        <v>87</v>
      </c>
      <c r="E592" s="1">
        <v>44938</v>
      </c>
      <c r="F592" t="s">
        <v>40</v>
      </c>
      <c r="G592" t="s">
        <v>41</v>
      </c>
      <c r="H592">
        <v>6</v>
      </c>
      <c r="I592">
        <v>68558</v>
      </c>
      <c r="J592">
        <v>411348</v>
      </c>
      <c r="K592">
        <v>214590</v>
      </c>
      <c r="L592">
        <v>50822</v>
      </c>
      <c r="M592">
        <v>145936</v>
      </c>
      <c r="N592">
        <v>16</v>
      </c>
      <c r="O592" t="s">
        <v>50</v>
      </c>
      <c r="P592" t="s">
        <v>84</v>
      </c>
      <c r="Q592" s="1">
        <v>44934</v>
      </c>
      <c r="R592" s="1">
        <v>44927</v>
      </c>
      <c r="S592" t="s">
        <v>95</v>
      </c>
      <c r="T592" s="1">
        <v>44927</v>
      </c>
      <c r="U592">
        <v>2023</v>
      </c>
    </row>
    <row r="593" spans="1:21" x14ac:dyDescent="0.3">
      <c r="A593" t="s">
        <v>703</v>
      </c>
      <c r="B593" t="s">
        <v>22</v>
      </c>
      <c r="C593" t="s">
        <v>23</v>
      </c>
      <c r="D593" t="s">
        <v>174</v>
      </c>
      <c r="E593" s="1">
        <v>45039</v>
      </c>
      <c r="F593" t="s">
        <v>57</v>
      </c>
      <c r="G593" t="s">
        <v>26</v>
      </c>
      <c r="H593">
        <v>10</v>
      </c>
      <c r="I593">
        <v>5418</v>
      </c>
      <c r="J593">
        <v>54180</v>
      </c>
      <c r="K593">
        <v>28894</v>
      </c>
      <c r="L593">
        <v>6697</v>
      </c>
      <c r="M593">
        <v>18589</v>
      </c>
      <c r="N593">
        <v>41</v>
      </c>
      <c r="O593" t="s">
        <v>27</v>
      </c>
      <c r="P593" t="s">
        <v>28</v>
      </c>
      <c r="Q593" s="1">
        <v>45039</v>
      </c>
      <c r="R593" s="1">
        <v>45017</v>
      </c>
      <c r="S593" t="s">
        <v>74</v>
      </c>
      <c r="T593" s="1">
        <v>45017</v>
      </c>
      <c r="U593">
        <v>2023</v>
      </c>
    </row>
    <row r="594" spans="1:21" x14ac:dyDescent="0.3">
      <c r="A594" t="s">
        <v>704</v>
      </c>
      <c r="B594" t="s">
        <v>46</v>
      </c>
      <c r="C594" t="s">
        <v>47</v>
      </c>
      <c r="D594" t="s">
        <v>117</v>
      </c>
      <c r="E594" s="1">
        <v>45146</v>
      </c>
      <c r="F594" t="s">
        <v>40</v>
      </c>
      <c r="G594" t="s">
        <v>33</v>
      </c>
      <c r="H594">
        <v>8</v>
      </c>
      <c r="I594">
        <v>8859</v>
      </c>
      <c r="J594">
        <v>70872</v>
      </c>
      <c r="K594">
        <v>30144</v>
      </c>
      <c r="L594">
        <v>9029</v>
      </c>
      <c r="M594">
        <v>31699</v>
      </c>
      <c r="N594">
        <v>23</v>
      </c>
      <c r="O594" t="s">
        <v>27</v>
      </c>
      <c r="P594" t="s">
        <v>62</v>
      </c>
      <c r="Q594" s="1">
        <v>45144</v>
      </c>
      <c r="R594" s="1">
        <v>45108</v>
      </c>
      <c r="S594" t="s">
        <v>92</v>
      </c>
      <c r="T594" s="1">
        <v>45139</v>
      </c>
      <c r="U594">
        <v>2023</v>
      </c>
    </row>
    <row r="595" spans="1:21" x14ac:dyDescent="0.3">
      <c r="A595" t="s">
        <v>705</v>
      </c>
      <c r="B595" t="s">
        <v>31</v>
      </c>
      <c r="C595" t="s">
        <v>23</v>
      </c>
      <c r="D595" t="s">
        <v>209</v>
      </c>
      <c r="E595" s="1">
        <v>45105</v>
      </c>
      <c r="F595" t="s">
        <v>49</v>
      </c>
      <c r="G595" t="s">
        <v>58</v>
      </c>
      <c r="H595">
        <v>4</v>
      </c>
      <c r="I595">
        <v>36158</v>
      </c>
      <c r="J595">
        <v>144632</v>
      </c>
      <c r="K595">
        <v>49456</v>
      </c>
      <c r="L595">
        <v>23689</v>
      </c>
      <c r="M595">
        <v>71487</v>
      </c>
      <c r="N595">
        <v>9</v>
      </c>
      <c r="O595" t="s">
        <v>61</v>
      </c>
      <c r="P595" t="s">
        <v>43</v>
      </c>
      <c r="Q595" s="1">
        <v>45102</v>
      </c>
      <c r="R595" s="1">
        <v>45017</v>
      </c>
      <c r="S595" t="s">
        <v>35</v>
      </c>
      <c r="T595" s="1">
        <v>45078</v>
      </c>
      <c r="U595">
        <v>2023</v>
      </c>
    </row>
    <row r="596" spans="1:21" x14ac:dyDescent="0.3">
      <c r="A596" t="s">
        <v>706</v>
      </c>
      <c r="B596" t="s">
        <v>46</v>
      </c>
      <c r="C596" t="s">
        <v>47</v>
      </c>
      <c r="D596" t="s">
        <v>80</v>
      </c>
      <c r="E596" s="1">
        <v>45110</v>
      </c>
      <c r="F596" t="s">
        <v>57</v>
      </c>
      <c r="G596" t="s">
        <v>64</v>
      </c>
      <c r="H596">
        <v>8</v>
      </c>
      <c r="I596">
        <v>33967</v>
      </c>
      <c r="J596">
        <v>271736</v>
      </c>
      <c r="K596">
        <v>92982</v>
      </c>
      <c r="L596">
        <v>37564</v>
      </c>
      <c r="M596">
        <v>141190</v>
      </c>
      <c r="N596">
        <v>9</v>
      </c>
      <c r="O596" t="s">
        <v>34</v>
      </c>
      <c r="P596" t="s">
        <v>51</v>
      </c>
      <c r="Q596" s="1">
        <v>45109</v>
      </c>
      <c r="R596" s="1">
        <v>45108</v>
      </c>
      <c r="S596" t="s">
        <v>29</v>
      </c>
      <c r="T596" s="1">
        <v>45108</v>
      </c>
      <c r="U596">
        <v>2023</v>
      </c>
    </row>
    <row r="597" spans="1:21" x14ac:dyDescent="0.3">
      <c r="A597" t="s">
        <v>707</v>
      </c>
      <c r="B597" t="s">
        <v>31</v>
      </c>
      <c r="C597" t="s">
        <v>23</v>
      </c>
      <c r="D597" t="s">
        <v>111</v>
      </c>
      <c r="E597" s="1">
        <v>45030</v>
      </c>
      <c r="F597" t="s">
        <v>25</v>
      </c>
      <c r="G597" t="s">
        <v>26</v>
      </c>
      <c r="H597">
        <v>8</v>
      </c>
      <c r="I597">
        <v>15371</v>
      </c>
      <c r="J597">
        <v>122968</v>
      </c>
      <c r="K597">
        <v>58755</v>
      </c>
      <c r="L597">
        <v>23922</v>
      </c>
      <c r="M597">
        <v>40291</v>
      </c>
      <c r="N597">
        <v>38</v>
      </c>
      <c r="O597" t="s">
        <v>34</v>
      </c>
      <c r="P597" t="s">
        <v>99</v>
      </c>
      <c r="Q597" s="1">
        <v>45025</v>
      </c>
      <c r="R597" s="1">
        <v>45017</v>
      </c>
      <c r="S597" t="s">
        <v>74</v>
      </c>
      <c r="T597" s="1">
        <v>45017</v>
      </c>
      <c r="U597">
        <v>2023</v>
      </c>
    </row>
    <row r="598" spans="1:21" x14ac:dyDescent="0.3">
      <c r="A598" t="s">
        <v>708</v>
      </c>
      <c r="B598" t="s">
        <v>31</v>
      </c>
      <c r="C598" t="s">
        <v>23</v>
      </c>
      <c r="D598" t="s">
        <v>89</v>
      </c>
      <c r="E598" s="1">
        <v>44946</v>
      </c>
      <c r="F598" t="s">
        <v>49</v>
      </c>
      <c r="G598" t="s">
        <v>33</v>
      </c>
      <c r="H598">
        <v>9</v>
      </c>
      <c r="I598">
        <v>23343</v>
      </c>
      <c r="J598">
        <v>210087</v>
      </c>
      <c r="K598">
        <v>85743</v>
      </c>
      <c r="L598">
        <v>34837</v>
      </c>
      <c r="M598">
        <v>89507</v>
      </c>
      <c r="N598">
        <v>20</v>
      </c>
      <c r="O598" t="s">
        <v>50</v>
      </c>
      <c r="P598" t="s">
        <v>99</v>
      </c>
      <c r="Q598" s="1">
        <v>44941</v>
      </c>
      <c r="R598" s="1">
        <v>44927</v>
      </c>
      <c r="S598" t="s">
        <v>95</v>
      </c>
      <c r="T598" s="1">
        <v>44927</v>
      </c>
      <c r="U598">
        <v>2023</v>
      </c>
    </row>
    <row r="599" spans="1:21" x14ac:dyDescent="0.3">
      <c r="A599" t="s">
        <v>709</v>
      </c>
      <c r="B599" t="s">
        <v>31</v>
      </c>
      <c r="C599" t="s">
        <v>23</v>
      </c>
      <c r="D599" t="s">
        <v>80</v>
      </c>
      <c r="E599" s="1">
        <v>45251</v>
      </c>
      <c r="F599" t="s">
        <v>49</v>
      </c>
      <c r="G599" t="s">
        <v>33</v>
      </c>
      <c r="H599">
        <v>4</v>
      </c>
      <c r="I599">
        <v>25405</v>
      </c>
      <c r="J599">
        <v>101620</v>
      </c>
      <c r="K599">
        <v>53732</v>
      </c>
      <c r="L599">
        <v>15355</v>
      </c>
      <c r="M599">
        <v>32533</v>
      </c>
      <c r="N599">
        <v>10</v>
      </c>
      <c r="O599" t="s">
        <v>42</v>
      </c>
      <c r="P599" t="s">
        <v>62</v>
      </c>
      <c r="Q599" s="1">
        <v>45249</v>
      </c>
      <c r="R599" s="1">
        <v>45200</v>
      </c>
      <c r="S599" t="s">
        <v>138</v>
      </c>
      <c r="T599" s="1">
        <v>45231</v>
      </c>
      <c r="U599">
        <v>2023</v>
      </c>
    </row>
    <row r="600" spans="1:21" x14ac:dyDescent="0.3">
      <c r="A600" t="s">
        <v>710</v>
      </c>
      <c r="B600" t="s">
        <v>22</v>
      </c>
      <c r="C600" t="s">
        <v>23</v>
      </c>
      <c r="D600" t="s">
        <v>137</v>
      </c>
      <c r="E600" s="1">
        <v>45018</v>
      </c>
      <c r="F600" t="s">
        <v>40</v>
      </c>
      <c r="G600" t="s">
        <v>64</v>
      </c>
      <c r="H600">
        <v>5</v>
      </c>
      <c r="I600">
        <v>49372</v>
      </c>
      <c r="J600">
        <v>246860</v>
      </c>
      <c r="K600">
        <v>141490</v>
      </c>
      <c r="L600">
        <v>28564</v>
      </c>
      <c r="M600">
        <v>76806</v>
      </c>
      <c r="N600">
        <v>32</v>
      </c>
      <c r="O600" t="s">
        <v>50</v>
      </c>
      <c r="P600" t="s">
        <v>28</v>
      </c>
      <c r="Q600" s="1">
        <v>45018</v>
      </c>
      <c r="R600" s="1">
        <v>45017</v>
      </c>
      <c r="S600" t="s">
        <v>74</v>
      </c>
      <c r="T600" s="1">
        <v>45017</v>
      </c>
      <c r="U600">
        <v>2023</v>
      </c>
    </row>
    <row r="601" spans="1:21" x14ac:dyDescent="0.3">
      <c r="A601" t="s">
        <v>711</v>
      </c>
      <c r="B601" t="s">
        <v>37</v>
      </c>
      <c r="C601" t="s">
        <v>38</v>
      </c>
      <c r="D601" t="s">
        <v>48</v>
      </c>
      <c r="E601" s="1">
        <v>45244</v>
      </c>
      <c r="F601" t="s">
        <v>25</v>
      </c>
      <c r="G601" t="s">
        <v>41</v>
      </c>
      <c r="H601">
        <v>2</v>
      </c>
      <c r="I601">
        <v>3305</v>
      </c>
      <c r="J601">
        <v>6610</v>
      </c>
      <c r="K601">
        <v>1998</v>
      </c>
      <c r="L601">
        <v>1112</v>
      </c>
      <c r="M601">
        <v>3500</v>
      </c>
      <c r="N601">
        <v>3</v>
      </c>
      <c r="O601" t="s">
        <v>34</v>
      </c>
      <c r="P601" t="s">
        <v>62</v>
      </c>
      <c r="Q601" s="1">
        <v>45242</v>
      </c>
      <c r="R601" s="1">
        <v>45200</v>
      </c>
      <c r="S601" t="s">
        <v>138</v>
      </c>
      <c r="T601" s="1">
        <v>45231</v>
      </c>
      <c r="U601">
        <v>2023</v>
      </c>
    </row>
    <row r="602" spans="1:21" x14ac:dyDescent="0.3">
      <c r="A602" t="s">
        <v>712</v>
      </c>
      <c r="B602" t="s">
        <v>22</v>
      </c>
      <c r="C602" t="s">
        <v>23</v>
      </c>
      <c r="D602" t="s">
        <v>205</v>
      </c>
      <c r="E602" s="1">
        <v>44963</v>
      </c>
      <c r="F602" t="s">
        <v>49</v>
      </c>
      <c r="G602" t="s">
        <v>81</v>
      </c>
      <c r="H602">
        <v>8</v>
      </c>
      <c r="I602">
        <v>39884</v>
      </c>
      <c r="J602">
        <v>319072</v>
      </c>
      <c r="K602">
        <v>155652</v>
      </c>
      <c r="L602">
        <v>43420</v>
      </c>
      <c r="M602">
        <v>120000</v>
      </c>
      <c r="N602">
        <v>42</v>
      </c>
      <c r="O602" t="s">
        <v>61</v>
      </c>
      <c r="P602" t="s">
        <v>51</v>
      </c>
      <c r="Q602" s="1">
        <v>44962</v>
      </c>
      <c r="R602" s="1">
        <v>44927</v>
      </c>
      <c r="S602" t="s">
        <v>85</v>
      </c>
      <c r="T602" s="1">
        <v>44958</v>
      </c>
      <c r="U602">
        <v>2023</v>
      </c>
    </row>
    <row r="603" spans="1:21" x14ac:dyDescent="0.3">
      <c r="A603" t="s">
        <v>713</v>
      </c>
      <c r="B603" t="s">
        <v>46</v>
      </c>
      <c r="C603" t="s">
        <v>47</v>
      </c>
      <c r="D603" t="s">
        <v>154</v>
      </c>
      <c r="E603" s="1">
        <v>45163</v>
      </c>
      <c r="F603" t="s">
        <v>40</v>
      </c>
      <c r="G603" t="s">
        <v>81</v>
      </c>
      <c r="H603">
        <v>6</v>
      </c>
      <c r="I603">
        <v>63115</v>
      </c>
      <c r="J603">
        <v>378690</v>
      </c>
      <c r="K603">
        <v>214896</v>
      </c>
      <c r="L603">
        <v>59678</v>
      </c>
      <c r="M603">
        <v>104116</v>
      </c>
      <c r="N603">
        <v>31</v>
      </c>
      <c r="O603" t="s">
        <v>27</v>
      </c>
      <c r="P603" t="s">
        <v>99</v>
      </c>
      <c r="Q603" s="1">
        <v>45158</v>
      </c>
      <c r="R603" s="1">
        <v>45108</v>
      </c>
      <c r="S603" t="s">
        <v>92</v>
      </c>
      <c r="T603" s="1">
        <v>45139</v>
      </c>
      <c r="U603">
        <v>2023</v>
      </c>
    </row>
    <row r="604" spans="1:21" x14ac:dyDescent="0.3">
      <c r="A604" t="s">
        <v>714</v>
      </c>
      <c r="B604" t="s">
        <v>37</v>
      </c>
      <c r="C604" t="s">
        <v>38</v>
      </c>
      <c r="D604" t="s">
        <v>114</v>
      </c>
      <c r="E604" s="1">
        <v>45142</v>
      </c>
      <c r="F604" t="s">
        <v>25</v>
      </c>
      <c r="G604" t="s">
        <v>26</v>
      </c>
      <c r="H604">
        <v>3</v>
      </c>
      <c r="I604">
        <v>47191</v>
      </c>
      <c r="J604">
        <v>141573</v>
      </c>
      <c r="K604">
        <v>51353</v>
      </c>
      <c r="L604">
        <v>22351</v>
      </c>
      <c r="M604">
        <v>67869</v>
      </c>
      <c r="N604">
        <v>17</v>
      </c>
      <c r="O604" t="s">
        <v>61</v>
      </c>
      <c r="P604" t="s">
        <v>99</v>
      </c>
      <c r="Q604" s="1">
        <v>45137</v>
      </c>
      <c r="R604" s="1">
        <v>45108</v>
      </c>
      <c r="S604" t="s">
        <v>92</v>
      </c>
      <c r="T604" s="1">
        <v>45139</v>
      </c>
      <c r="U604">
        <v>2023</v>
      </c>
    </row>
    <row r="605" spans="1:21" x14ac:dyDescent="0.3">
      <c r="A605" t="s">
        <v>715</v>
      </c>
      <c r="B605" t="s">
        <v>72</v>
      </c>
      <c r="C605" t="s">
        <v>47</v>
      </c>
      <c r="D605" t="s">
        <v>87</v>
      </c>
      <c r="E605" s="1">
        <v>45211</v>
      </c>
      <c r="F605" t="s">
        <v>57</v>
      </c>
      <c r="G605" t="s">
        <v>58</v>
      </c>
      <c r="H605">
        <v>2</v>
      </c>
      <c r="I605">
        <v>51990</v>
      </c>
      <c r="J605">
        <v>103980</v>
      </c>
      <c r="K605">
        <v>33287</v>
      </c>
      <c r="L605">
        <v>20376</v>
      </c>
      <c r="M605">
        <v>50317</v>
      </c>
      <c r="N605">
        <v>23</v>
      </c>
      <c r="O605" t="s">
        <v>27</v>
      </c>
      <c r="P605" t="s">
        <v>84</v>
      </c>
      <c r="Q605" s="1">
        <v>45207</v>
      </c>
      <c r="R605" s="1">
        <v>45200</v>
      </c>
      <c r="S605" t="s">
        <v>52</v>
      </c>
      <c r="T605" s="1">
        <v>45200</v>
      </c>
      <c r="U605">
        <v>2023</v>
      </c>
    </row>
    <row r="606" spans="1:21" x14ac:dyDescent="0.3">
      <c r="A606" t="s">
        <v>716</v>
      </c>
      <c r="B606" t="s">
        <v>37</v>
      </c>
      <c r="C606" t="s">
        <v>38</v>
      </c>
      <c r="D606" t="s">
        <v>188</v>
      </c>
      <c r="E606" s="1">
        <v>45167</v>
      </c>
      <c r="F606" t="s">
        <v>57</v>
      </c>
      <c r="G606" t="s">
        <v>98</v>
      </c>
      <c r="H606">
        <v>8</v>
      </c>
      <c r="I606">
        <v>24150</v>
      </c>
      <c r="J606">
        <v>193200</v>
      </c>
      <c r="K606">
        <v>108473</v>
      </c>
      <c r="L606">
        <v>30600</v>
      </c>
      <c r="M606">
        <v>54127</v>
      </c>
      <c r="N606">
        <v>2</v>
      </c>
      <c r="O606" t="s">
        <v>34</v>
      </c>
      <c r="P606" t="s">
        <v>62</v>
      </c>
      <c r="Q606" s="1">
        <v>45165</v>
      </c>
      <c r="R606" s="1">
        <v>45108</v>
      </c>
      <c r="S606" t="s">
        <v>92</v>
      </c>
      <c r="T606" s="1">
        <v>45139</v>
      </c>
      <c r="U606">
        <v>2023</v>
      </c>
    </row>
    <row r="607" spans="1:21" x14ac:dyDescent="0.3">
      <c r="A607" t="s">
        <v>717</v>
      </c>
      <c r="B607" t="s">
        <v>46</v>
      </c>
      <c r="C607" t="s">
        <v>47</v>
      </c>
      <c r="D607" t="s">
        <v>137</v>
      </c>
      <c r="E607" s="1">
        <v>44998</v>
      </c>
      <c r="F607" t="s">
        <v>49</v>
      </c>
      <c r="G607" t="s">
        <v>41</v>
      </c>
      <c r="H607">
        <v>3</v>
      </c>
      <c r="I607">
        <v>62935</v>
      </c>
      <c r="J607">
        <v>188805</v>
      </c>
      <c r="K607">
        <v>82958</v>
      </c>
      <c r="L607">
        <v>31652</v>
      </c>
      <c r="M607">
        <v>74195</v>
      </c>
      <c r="N607">
        <v>6</v>
      </c>
      <c r="O607" t="s">
        <v>34</v>
      </c>
      <c r="P607" t="s">
        <v>51</v>
      </c>
      <c r="Q607" s="1">
        <v>44997</v>
      </c>
      <c r="R607" s="1">
        <v>44927</v>
      </c>
      <c r="S607" t="s">
        <v>44</v>
      </c>
      <c r="T607" s="1">
        <v>44986</v>
      </c>
      <c r="U607">
        <v>2023</v>
      </c>
    </row>
    <row r="608" spans="1:21" x14ac:dyDescent="0.3">
      <c r="A608" t="s">
        <v>718</v>
      </c>
      <c r="B608" t="s">
        <v>31</v>
      </c>
      <c r="C608" t="s">
        <v>23</v>
      </c>
      <c r="D608" t="s">
        <v>125</v>
      </c>
      <c r="E608" s="1">
        <v>45102</v>
      </c>
      <c r="F608" t="s">
        <v>49</v>
      </c>
      <c r="G608" t="s">
        <v>33</v>
      </c>
      <c r="H608">
        <v>10</v>
      </c>
      <c r="I608">
        <v>30190</v>
      </c>
      <c r="J608">
        <v>301900</v>
      </c>
      <c r="K608">
        <v>101738</v>
      </c>
      <c r="L608">
        <v>40923</v>
      </c>
      <c r="M608">
        <v>159239</v>
      </c>
      <c r="N608">
        <v>24</v>
      </c>
      <c r="O608" t="s">
        <v>34</v>
      </c>
      <c r="P608" t="s">
        <v>28</v>
      </c>
      <c r="Q608" s="1">
        <v>45102</v>
      </c>
      <c r="R608" s="1">
        <v>45017</v>
      </c>
      <c r="S608" t="s">
        <v>35</v>
      </c>
      <c r="T608" s="1">
        <v>45078</v>
      </c>
      <c r="U608">
        <v>2023</v>
      </c>
    </row>
    <row r="609" spans="1:21" x14ac:dyDescent="0.3">
      <c r="A609" t="s">
        <v>719</v>
      </c>
      <c r="B609" t="s">
        <v>22</v>
      </c>
      <c r="C609" t="s">
        <v>23</v>
      </c>
      <c r="D609" t="s">
        <v>196</v>
      </c>
      <c r="E609" s="1">
        <v>45002</v>
      </c>
      <c r="F609" t="s">
        <v>40</v>
      </c>
      <c r="G609" t="s">
        <v>26</v>
      </c>
      <c r="H609">
        <v>6</v>
      </c>
      <c r="I609">
        <v>61278</v>
      </c>
      <c r="J609">
        <v>367668</v>
      </c>
      <c r="K609">
        <v>208326</v>
      </c>
      <c r="L609">
        <v>56515</v>
      </c>
      <c r="M609">
        <v>102827</v>
      </c>
      <c r="N609">
        <v>28</v>
      </c>
      <c r="O609" t="s">
        <v>42</v>
      </c>
      <c r="P609" t="s">
        <v>99</v>
      </c>
      <c r="Q609" s="1">
        <v>44997</v>
      </c>
      <c r="R609" s="1">
        <v>44927</v>
      </c>
      <c r="S609" t="s">
        <v>44</v>
      </c>
      <c r="T609" s="1">
        <v>44986</v>
      </c>
      <c r="U609">
        <v>2023</v>
      </c>
    </row>
    <row r="610" spans="1:21" x14ac:dyDescent="0.3">
      <c r="A610" t="s">
        <v>720</v>
      </c>
      <c r="B610" t="s">
        <v>31</v>
      </c>
      <c r="C610" t="s">
        <v>23</v>
      </c>
      <c r="D610" t="s">
        <v>135</v>
      </c>
      <c r="E610" s="1">
        <v>45057</v>
      </c>
      <c r="F610" t="s">
        <v>40</v>
      </c>
      <c r="G610" t="s">
        <v>98</v>
      </c>
      <c r="H610">
        <v>2</v>
      </c>
      <c r="I610">
        <v>49539</v>
      </c>
      <c r="J610">
        <v>99078</v>
      </c>
      <c r="K610">
        <v>33345</v>
      </c>
      <c r="L610">
        <v>12199</v>
      </c>
      <c r="M610">
        <v>53534</v>
      </c>
      <c r="N610">
        <v>30</v>
      </c>
      <c r="O610" t="s">
        <v>42</v>
      </c>
      <c r="P610" t="s">
        <v>84</v>
      </c>
      <c r="Q610" s="1">
        <v>45053</v>
      </c>
      <c r="R610" s="1">
        <v>45017</v>
      </c>
      <c r="S610" t="s">
        <v>68</v>
      </c>
      <c r="T610" s="1">
        <v>45047</v>
      </c>
      <c r="U610">
        <v>2023</v>
      </c>
    </row>
    <row r="611" spans="1:21" x14ac:dyDescent="0.3">
      <c r="A611" t="s">
        <v>721</v>
      </c>
      <c r="B611" t="s">
        <v>31</v>
      </c>
      <c r="C611" t="s">
        <v>23</v>
      </c>
      <c r="D611" t="s">
        <v>87</v>
      </c>
      <c r="E611" s="1">
        <v>44938</v>
      </c>
      <c r="F611" t="s">
        <v>49</v>
      </c>
      <c r="G611" t="s">
        <v>33</v>
      </c>
      <c r="H611">
        <v>4</v>
      </c>
      <c r="I611">
        <v>48445</v>
      </c>
      <c r="J611">
        <v>193780</v>
      </c>
      <c r="K611">
        <v>111014</v>
      </c>
      <c r="L611">
        <v>29875</v>
      </c>
      <c r="M611">
        <v>52891</v>
      </c>
      <c r="N611">
        <v>24</v>
      </c>
      <c r="O611" t="s">
        <v>61</v>
      </c>
      <c r="P611" t="s">
        <v>84</v>
      </c>
      <c r="Q611" s="1">
        <v>44934</v>
      </c>
      <c r="R611" s="1">
        <v>44927</v>
      </c>
      <c r="S611" t="s">
        <v>95</v>
      </c>
      <c r="T611" s="1">
        <v>44927</v>
      </c>
      <c r="U611">
        <v>2023</v>
      </c>
    </row>
    <row r="612" spans="1:21" x14ac:dyDescent="0.3">
      <c r="A612" t="s">
        <v>722</v>
      </c>
      <c r="B612" t="s">
        <v>31</v>
      </c>
      <c r="C612" t="s">
        <v>23</v>
      </c>
      <c r="D612" t="s">
        <v>133</v>
      </c>
      <c r="E612" s="1">
        <v>45234</v>
      </c>
      <c r="F612" t="s">
        <v>57</v>
      </c>
      <c r="G612" t="s">
        <v>81</v>
      </c>
      <c r="H612">
        <v>2</v>
      </c>
      <c r="I612">
        <v>12305</v>
      </c>
      <c r="J612">
        <v>24610</v>
      </c>
      <c r="K612">
        <v>9157</v>
      </c>
      <c r="L612">
        <v>4025</v>
      </c>
      <c r="M612">
        <v>11428</v>
      </c>
      <c r="N612">
        <v>20</v>
      </c>
      <c r="O612" t="s">
        <v>27</v>
      </c>
      <c r="P612" t="s">
        <v>67</v>
      </c>
      <c r="Q612" s="1">
        <v>45228</v>
      </c>
      <c r="R612" s="1">
        <v>45200</v>
      </c>
      <c r="S612" t="s">
        <v>138</v>
      </c>
      <c r="T612" s="1">
        <v>45231</v>
      </c>
      <c r="U612">
        <v>2023</v>
      </c>
    </row>
    <row r="613" spans="1:21" x14ac:dyDescent="0.3">
      <c r="A613" t="s">
        <v>723</v>
      </c>
      <c r="B613" t="s">
        <v>31</v>
      </c>
      <c r="C613" t="s">
        <v>23</v>
      </c>
      <c r="D613" t="s">
        <v>152</v>
      </c>
      <c r="E613" s="1">
        <v>44961</v>
      </c>
      <c r="F613" t="s">
        <v>25</v>
      </c>
      <c r="G613" t="s">
        <v>41</v>
      </c>
      <c r="H613">
        <v>7</v>
      </c>
      <c r="I613">
        <v>42135</v>
      </c>
      <c r="J613">
        <v>294945</v>
      </c>
      <c r="K613">
        <v>159135</v>
      </c>
      <c r="L613">
        <v>31246</v>
      </c>
      <c r="M613">
        <v>104564</v>
      </c>
      <c r="N613">
        <v>31</v>
      </c>
      <c r="O613" t="s">
        <v>27</v>
      </c>
      <c r="P613" t="s">
        <v>67</v>
      </c>
      <c r="Q613" s="1">
        <v>44955</v>
      </c>
      <c r="R613" s="1">
        <v>44927</v>
      </c>
      <c r="S613" t="s">
        <v>85</v>
      </c>
      <c r="T613" s="1">
        <v>44958</v>
      </c>
      <c r="U613">
        <v>2023</v>
      </c>
    </row>
    <row r="614" spans="1:21" x14ac:dyDescent="0.3">
      <c r="A614" t="s">
        <v>724</v>
      </c>
      <c r="B614" t="s">
        <v>31</v>
      </c>
      <c r="C614" t="s">
        <v>23</v>
      </c>
      <c r="D614" t="s">
        <v>97</v>
      </c>
      <c r="E614" s="1">
        <v>44968</v>
      </c>
      <c r="F614" t="s">
        <v>40</v>
      </c>
      <c r="G614" t="s">
        <v>98</v>
      </c>
      <c r="H614">
        <v>1</v>
      </c>
      <c r="I614">
        <v>13733</v>
      </c>
      <c r="J614">
        <v>13733</v>
      </c>
      <c r="K614">
        <v>6034</v>
      </c>
      <c r="L614">
        <v>2594</v>
      </c>
      <c r="M614">
        <v>5105</v>
      </c>
      <c r="N614">
        <v>7</v>
      </c>
      <c r="O614" t="s">
        <v>27</v>
      </c>
      <c r="P614" t="s">
        <v>67</v>
      </c>
      <c r="Q614" s="1">
        <v>44962</v>
      </c>
      <c r="R614" s="1">
        <v>44927</v>
      </c>
      <c r="S614" t="s">
        <v>85</v>
      </c>
      <c r="T614" s="1">
        <v>44958</v>
      </c>
      <c r="U614">
        <v>2023</v>
      </c>
    </row>
    <row r="615" spans="1:21" x14ac:dyDescent="0.3">
      <c r="A615" t="s">
        <v>725</v>
      </c>
      <c r="B615" t="s">
        <v>31</v>
      </c>
      <c r="C615" t="s">
        <v>23</v>
      </c>
      <c r="D615" t="s">
        <v>121</v>
      </c>
      <c r="E615" s="1">
        <v>45010</v>
      </c>
      <c r="F615" t="s">
        <v>25</v>
      </c>
      <c r="G615" t="s">
        <v>26</v>
      </c>
      <c r="H615">
        <v>4</v>
      </c>
      <c r="I615">
        <v>66578</v>
      </c>
      <c r="J615">
        <v>266312</v>
      </c>
      <c r="K615">
        <v>95778</v>
      </c>
      <c r="L615">
        <v>31735</v>
      </c>
      <c r="M615">
        <v>138799</v>
      </c>
      <c r="N615">
        <v>3</v>
      </c>
      <c r="O615" t="s">
        <v>61</v>
      </c>
      <c r="P615" t="s">
        <v>67</v>
      </c>
      <c r="Q615" s="1">
        <v>45004</v>
      </c>
      <c r="R615" s="1">
        <v>44927</v>
      </c>
      <c r="S615" t="s">
        <v>44</v>
      </c>
      <c r="T615" s="1">
        <v>44986</v>
      </c>
      <c r="U615">
        <v>2023</v>
      </c>
    </row>
    <row r="616" spans="1:21" x14ac:dyDescent="0.3">
      <c r="A616" t="s">
        <v>726</v>
      </c>
      <c r="B616" t="s">
        <v>37</v>
      </c>
      <c r="C616" t="s">
        <v>38</v>
      </c>
      <c r="D616" t="s">
        <v>209</v>
      </c>
      <c r="E616" s="1">
        <v>45152</v>
      </c>
      <c r="F616" t="s">
        <v>57</v>
      </c>
      <c r="G616" t="s">
        <v>58</v>
      </c>
      <c r="H616">
        <v>7</v>
      </c>
      <c r="I616">
        <v>12304</v>
      </c>
      <c r="J616">
        <v>86128</v>
      </c>
      <c r="K616">
        <v>28505</v>
      </c>
      <c r="L616">
        <v>13170</v>
      </c>
      <c r="M616">
        <v>44453</v>
      </c>
      <c r="N616">
        <v>12</v>
      </c>
      <c r="O616" t="s">
        <v>27</v>
      </c>
      <c r="P616" t="s">
        <v>51</v>
      </c>
      <c r="Q616" s="1">
        <v>45151</v>
      </c>
      <c r="R616" s="1">
        <v>45108</v>
      </c>
      <c r="S616" t="s">
        <v>92</v>
      </c>
      <c r="T616" s="1">
        <v>45139</v>
      </c>
      <c r="U616">
        <v>2023</v>
      </c>
    </row>
    <row r="617" spans="1:21" x14ac:dyDescent="0.3">
      <c r="A617" t="s">
        <v>727</v>
      </c>
      <c r="B617" t="s">
        <v>46</v>
      </c>
      <c r="C617" t="s">
        <v>47</v>
      </c>
      <c r="D617" t="s">
        <v>78</v>
      </c>
      <c r="E617" s="1">
        <v>44931</v>
      </c>
      <c r="F617" t="s">
        <v>57</v>
      </c>
      <c r="G617" t="s">
        <v>58</v>
      </c>
      <c r="H617">
        <v>4</v>
      </c>
      <c r="I617">
        <v>63617</v>
      </c>
      <c r="J617">
        <v>254468</v>
      </c>
      <c r="K617">
        <v>115661</v>
      </c>
      <c r="L617">
        <v>46224</v>
      </c>
      <c r="M617">
        <v>92583</v>
      </c>
      <c r="N617">
        <v>7</v>
      </c>
      <c r="O617" t="s">
        <v>34</v>
      </c>
      <c r="P617" t="s">
        <v>84</v>
      </c>
      <c r="Q617" s="1">
        <v>44927</v>
      </c>
      <c r="R617" s="1">
        <v>44927</v>
      </c>
      <c r="S617" t="s">
        <v>95</v>
      </c>
      <c r="T617" s="1">
        <v>44927</v>
      </c>
      <c r="U617">
        <v>2023</v>
      </c>
    </row>
    <row r="618" spans="1:21" x14ac:dyDescent="0.3">
      <c r="A618" t="s">
        <v>728</v>
      </c>
      <c r="B618" t="s">
        <v>37</v>
      </c>
      <c r="C618" t="s">
        <v>38</v>
      </c>
      <c r="D618" t="s">
        <v>123</v>
      </c>
      <c r="E618" s="1">
        <v>45119</v>
      </c>
      <c r="F618" t="s">
        <v>25</v>
      </c>
      <c r="G618" t="s">
        <v>81</v>
      </c>
      <c r="H618">
        <v>2</v>
      </c>
      <c r="I618">
        <v>54133</v>
      </c>
      <c r="J618">
        <v>108266</v>
      </c>
      <c r="K618">
        <v>44898</v>
      </c>
      <c r="L618">
        <v>12233</v>
      </c>
      <c r="M618">
        <v>51135</v>
      </c>
      <c r="N618">
        <v>41</v>
      </c>
      <c r="O618" t="s">
        <v>50</v>
      </c>
      <c r="P618" t="s">
        <v>43</v>
      </c>
      <c r="Q618" s="1">
        <v>45116</v>
      </c>
      <c r="R618" s="1">
        <v>45108</v>
      </c>
      <c r="S618" t="s">
        <v>29</v>
      </c>
      <c r="T618" s="1">
        <v>45108</v>
      </c>
      <c r="U618">
        <v>2023</v>
      </c>
    </row>
    <row r="619" spans="1:21" x14ac:dyDescent="0.3">
      <c r="A619" t="s">
        <v>729</v>
      </c>
      <c r="B619" t="s">
        <v>31</v>
      </c>
      <c r="C619" t="s">
        <v>23</v>
      </c>
      <c r="D619" t="s">
        <v>128</v>
      </c>
      <c r="E619" s="1">
        <v>44982</v>
      </c>
      <c r="F619" t="s">
        <v>40</v>
      </c>
      <c r="G619" t="s">
        <v>64</v>
      </c>
      <c r="H619">
        <v>8</v>
      </c>
      <c r="I619">
        <v>52450</v>
      </c>
      <c r="J619">
        <v>419600</v>
      </c>
      <c r="K619">
        <v>207286</v>
      </c>
      <c r="L619">
        <v>72630</v>
      </c>
      <c r="M619">
        <v>139684</v>
      </c>
      <c r="N619">
        <v>26</v>
      </c>
      <c r="O619" t="s">
        <v>42</v>
      </c>
      <c r="P619" t="s">
        <v>67</v>
      </c>
      <c r="Q619" s="1">
        <v>44976</v>
      </c>
      <c r="R619" s="1">
        <v>44927</v>
      </c>
      <c r="S619" t="s">
        <v>85</v>
      </c>
      <c r="T619" s="1">
        <v>44958</v>
      </c>
      <c r="U619">
        <v>2023</v>
      </c>
    </row>
    <row r="620" spans="1:21" x14ac:dyDescent="0.3">
      <c r="A620" t="s">
        <v>730</v>
      </c>
      <c r="B620" t="s">
        <v>22</v>
      </c>
      <c r="C620" t="s">
        <v>23</v>
      </c>
      <c r="D620" t="s">
        <v>114</v>
      </c>
      <c r="E620" s="1">
        <v>45130</v>
      </c>
      <c r="F620" t="s">
        <v>25</v>
      </c>
      <c r="G620" t="s">
        <v>58</v>
      </c>
      <c r="H620">
        <v>2</v>
      </c>
      <c r="I620">
        <v>46556</v>
      </c>
      <c r="J620">
        <v>93112</v>
      </c>
      <c r="K620">
        <v>53215</v>
      </c>
      <c r="L620">
        <v>11032</v>
      </c>
      <c r="M620">
        <v>28865</v>
      </c>
      <c r="N620">
        <v>5</v>
      </c>
      <c r="O620" t="s">
        <v>27</v>
      </c>
      <c r="P620" t="s">
        <v>28</v>
      </c>
      <c r="Q620" s="1">
        <v>45130</v>
      </c>
      <c r="R620" s="1">
        <v>45108</v>
      </c>
      <c r="S620" t="s">
        <v>29</v>
      </c>
      <c r="T620" s="1">
        <v>45108</v>
      </c>
      <c r="U620">
        <v>2023</v>
      </c>
    </row>
    <row r="621" spans="1:21" x14ac:dyDescent="0.3">
      <c r="A621" t="s">
        <v>731</v>
      </c>
      <c r="B621" t="s">
        <v>46</v>
      </c>
      <c r="C621" t="s">
        <v>47</v>
      </c>
      <c r="D621" t="s">
        <v>301</v>
      </c>
      <c r="E621" s="1">
        <v>45109</v>
      </c>
      <c r="F621" t="s">
        <v>40</v>
      </c>
      <c r="G621" t="s">
        <v>64</v>
      </c>
      <c r="H621">
        <v>1</v>
      </c>
      <c r="I621">
        <v>12927</v>
      </c>
      <c r="J621">
        <v>12927</v>
      </c>
      <c r="K621">
        <v>6040</v>
      </c>
      <c r="L621">
        <v>1643</v>
      </c>
      <c r="M621">
        <v>5244</v>
      </c>
      <c r="N621">
        <v>35</v>
      </c>
      <c r="O621" t="s">
        <v>61</v>
      </c>
      <c r="P621" t="s">
        <v>28</v>
      </c>
      <c r="Q621" s="1">
        <v>45109</v>
      </c>
      <c r="R621" s="1">
        <v>45108</v>
      </c>
      <c r="S621" t="s">
        <v>29</v>
      </c>
      <c r="T621" s="1">
        <v>45108</v>
      </c>
      <c r="U621">
        <v>2023</v>
      </c>
    </row>
    <row r="622" spans="1:21" x14ac:dyDescent="0.3">
      <c r="A622" t="s">
        <v>732</v>
      </c>
      <c r="B622" t="s">
        <v>37</v>
      </c>
      <c r="C622" t="s">
        <v>38</v>
      </c>
      <c r="D622" t="s">
        <v>106</v>
      </c>
      <c r="E622" s="1">
        <v>45235</v>
      </c>
      <c r="F622" t="s">
        <v>40</v>
      </c>
      <c r="G622" t="s">
        <v>26</v>
      </c>
      <c r="H622">
        <v>9</v>
      </c>
      <c r="I622">
        <v>44381</v>
      </c>
      <c r="J622">
        <v>399429</v>
      </c>
      <c r="K622">
        <v>235649</v>
      </c>
      <c r="L622">
        <v>55340</v>
      </c>
      <c r="M622">
        <v>108440</v>
      </c>
      <c r="N622">
        <v>11</v>
      </c>
      <c r="O622" t="s">
        <v>61</v>
      </c>
      <c r="P622" t="s">
        <v>28</v>
      </c>
      <c r="Q622" s="1">
        <v>45235</v>
      </c>
      <c r="R622" s="1">
        <v>45200</v>
      </c>
      <c r="S622" t="s">
        <v>138</v>
      </c>
      <c r="T622" s="1">
        <v>45231</v>
      </c>
      <c r="U622">
        <v>2023</v>
      </c>
    </row>
    <row r="623" spans="1:21" x14ac:dyDescent="0.3">
      <c r="A623" t="s">
        <v>733</v>
      </c>
      <c r="B623" t="s">
        <v>37</v>
      </c>
      <c r="C623" t="s">
        <v>38</v>
      </c>
      <c r="D623" t="s">
        <v>83</v>
      </c>
      <c r="E623" s="1">
        <v>45039</v>
      </c>
      <c r="F623" t="s">
        <v>57</v>
      </c>
      <c r="G623" t="s">
        <v>81</v>
      </c>
      <c r="H623">
        <v>6</v>
      </c>
      <c r="I623">
        <v>28433</v>
      </c>
      <c r="J623">
        <v>170598</v>
      </c>
      <c r="K623">
        <v>97784</v>
      </c>
      <c r="L623">
        <v>33353</v>
      </c>
      <c r="M623">
        <v>39461</v>
      </c>
      <c r="N623">
        <v>10</v>
      </c>
      <c r="O623" t="s">
        <v>42</v>
      </c>
      <c r="P623" t="s">
        <v>28</v>
      </c>
      <c r="Q623" s="1">
        <v>45039</v>
      </c>
      <c r="R623" s="1">
        <v>45017</v>
      </c>
      <c r="S623" t="s">
        <v>74</v>
      </c>
      <c r="T623" s="1">
        <v>45017</v>
      </c>
      <c r="U623">
        <v>2023</v>
      </c>
    </row>
    <row r="624" spans="1:21" x14ac:dyDescent="0.3">
      <c r="A624" t="s">
        <v>734</v>
      </c>
      <c r="B624" t="s">
        <v>37</v>
      </c>
      <c r="C624" t="s">
        <v>38</v>
      </c>
      <c r="D624" t="s">
        <v>176</v>
      </c>
      <c r="E624" s="1">
        <v>45246</v>
      </c>
      <c r="F624" t="s">
        <v>40</v>
      </c>
      <c r="G624" t="s">
        <v>33</v>
      </c>
      <c r="H624">
        <v>5</v>
      </c>
      <c r="I624">
        <v>58726</v>
      </c>
      <c r="J624">
        <v>293630</v>
      </c>
      <c r="K624">
        <v>104219</v>
      </c>
      <c r="L624">
        <v>50193</v>
      </c>
      <c r="M624">
        <v>139218</v>
      </c>
      <c r="N624">
        <v>29</v>
      </c>
      <c r="O624" t="s">
        <v>50</v>
      </c>
      <c r="P624" t="s">
        <v>84</v>
      </c>
      <c r="Q624" s="1">
        <v>45242</v>
      </c>
      <c r="R624" s="1">
        <v>45200</v>
      </c>
      <c r="S624" t="s">
        <v>138</v>
      </c>
      <c r="T624" s="1">
        <v>45231</v>
      </c>
      <c r="U624">
        <v>2023</v>
      </c>
    </row>
    <row r="625" spans="1:21" x14ac:dyDescent="0.3">
      <c r="A625" t="s">
        <v>735</v>
      </c>
      <c r="B625" t="s">
        <v>72</v>
      </c>
      <c r="C625" t="s">
        <v>47</v>
      </c>
      <c r="D625" t="s">
        <v>32</v>
      </c>
      <c r="E625" s="1">
        <v>45252</v>
      </c>
      <c r="F625" t="s">
        <v>49</v>
      </c>
      <c r="G625" t="s">
        <v>41</v>
      </c>
      <c r="H625">
        <v>10</v>
      </c>
      <c r="I625">
        <v>16591</v>
      </c>
      <c r="J625">
        <v>165910</v>
      </c>
      <c r="K625">
        <v>58689</v>
      </c>
      <c r="L625">
        <v>22021</v>
      </c>
      <c r="M625">
        <v>85200</v>
      </c>
      <c r="N625">
        <v>8</v>
      </c>
      <c r="O625" t="s">
        <v>50</v>
      </c>
      <c r="P625" t="s">
        <v>43</v>
      </c>
      <c r="Q625" s="1">
        <v>45249</v>
      </c>
      <c r="R625" s="1">
        <v>45200</v>
      </c>
      <c r="S625" t="s">
        <v>138</v>
      </c>
      <c r="T625" s="1">
        <v>45231</v>
      </c>
      <c r="U625">
        <v>2023</v>
      </c>
    </row>
    <row r="626" spans="1:21" x14ac:dyDescent="0.3">
      <c r="A626" t="s">
        <v>736</v>
      </c>
      <c r="B626" t="s">
        <v>46</v>
      </c>
      <c r="C626" t="s">
        <v>47</v>
      </c>
      <c r="D626" t="s">
        <v>89</v>
      </c>
      <c r="E626" s="1">
        <v>45208</v>
      </c>
      <c r="F626" t="s">
        <v>57</v>
      </c>
      <c r="G626" t="s">
        <v>81</v>
      </c>
      <c r="H626">
        <v>9</v>
      </c>
      <c r="I626">
        <v>45332</v>
      </c>
      <c r="J626">
        <v>407988</v>
      </c>
      <c r="K626">
        <v>131937</v>
      </c>
      <c r="L626">
        <v>74983</v>
      </c>
      <c r="M626">
        <v>201068</v>
      </c>
      <c r="N626">
        <v>31</v>
      </c>
      <c r="O626" t="s">
        <v>27</v>
      </c>
      <c r="P626" t="s">
        <v>51</v>
      </c>
      <c r="Q626" s="1">
        <v>45207</v>
      </c>
      <c r="R626" s="1">
        <v>45200</v>
      </c>
      <c r="S626" t="s">
        <v>52</v>
      </c>
      <c r="T626" s="1">
        <v>45200</v>
      </c>
      <c r="U626">
        <v>2023</v>
      </c>
    </row>
    <row r="627" spans="1:21" x14ac:dyDescent="0.3">
      <c r="A627" t="s">
        <v>737</v>
      </c>
      <c r="B627" t="s">
        <v>72</v>
      </c>
      <c r="C627" t="s">
        <v>47</v>
      </c>
      <c r="D627" t="s">
        <v>70</v>
      </c>
      <c r="E627" s="1">
        <v>45011</v>
      </c>
      <c r="F627" t="s">
        <v>25</v>
      </c>
      <c r="G627" t="s">
        <v>33</v>
      </c>
      <c r="H627">
        <v>3</v>
      </c>
      <c r="I627">
        <v>38172</v>
      </c>
      <c r="J627">
        <v>114516</v>
      </c>
      <c r="K627">
        <v>63474</v>
      </c>
      <c r="L627">
        <v>11917</v>
      </c>
      <c r="M627">
        <v>39125</v>
      </c>
      <c r="N627">
        <v>46</v>
      </c>
      <c r="O627" t="s">
        <v>61</v>
      </c>
      <c r="P627" t="s">
        <v>28</v>
      </c>
      <c r="Q627" s="1">
        <v>45011</v>
      </c>
      <c r="R627" s="1">
        <v>44927</v>
      </c>
      <c r="S627" t="s">
        <v>44</v>
      </c>
      <c r="T627" s="1">
        <v>44986</v>
      </c>
      <c r="U627">
        <v>2023</v>
      </c>
    </row>
    <row r="628" spans="1:21" x14ac:dyDescent="0.3">
      <c r="A628" t="s">
        <v>738</v>
      </c>
      <c r="B628" t="s">
        <v>31</v>
      </c>
      <c r="C628" t="s">
        <v>23</v>
      </c>
      <c r="D628" t="s">
        <v>32</v>
      </c>
      <c r="E628" s="1">
        <v>45102</v>
      </c>
      <c r="F628" t="s">
        <v>40</v>
      </c>
      <c r="G628" t="s">
        <v>58</v>
      </c>
      <c r="H628">
        <v>6</v>
      </c>
      <c r="I628">
        <v>2972</v>
      </c>
      <c r="J628">
        <v>17832</v>
      </c>
      <c r="K628">
        <v>6350</v>
      </c>
      <c r="L628">
        <v>2251</v>
      </c>
      <c r="M628">
        <v>9231</v>
      </c>
      <c r="N628">
        <v>13</v>
      </c>
      <c r="O628" t="s">
        <v>61</v>
      </c>
      <c r="P628" t="s">
        <v>28</v>
      </c>
      <c r="Q628" s="1">
        <v>45102</v>
      </c>
      <c r="R628" s="1">
        <v>45017</v>
      </c>
      <c r="S628" t="s">
        <v>35</v>
      </c>
      <c r="T628" s="1">
        <v>45078</v>
      </c>
      <c r="U628">
        <v>2023</v>
      </c>
    </row>
    <row r="629" spans="1:21" x14ac:dyDescent="0.3">
      <c r="A629" t="s">
        <v>739</v>
      </c>
      <c r="B629" t="s">
        <v>22</v>
      </c>
      <c r="C629" t="s">
        <v>23</v>
      </c>
      <c r="D629" t="s">
        <v>70</v>
      </c>
      <c r="E629" s="1">
        <v>45175</v>
      </c>
      <c r="F629" t="s">
        <v>25</v>
      </c>
      <c r="G629" t="s">
        <v>98</v>
      </c>
      <c r="H629">
        <v>10</v>
      </c>
      <c r="I629">
        <v>51719</v>
      </c>
      <c r="J629">
        <v>517190</v>
      </c>
      <c r="K629">
        <v>158132</v>
      </c>
      <c r="L629">
        <v>85404</v>
      </c>
      <c r="M629">
        <v>273654</v>
      </c>
      <c r="N629">
        <v>28</v>
      </c>
      <c r="O629" t="s">
        <v>27</v>
      </c>
      <c r="P629" t="s">
        <v>43</v>
      </c>
      <c r="Q629" s="1">
        <v>45172</v>
      </c>
      <c r="R629" s="1">
        <v>45108</v>
      </c>
      <c r="S629" t="s">
        <v>104</v>
      </c>
      <c r="T629" s="1">
        <v>45170</v>
      </c>
      <c r="U629">
        <v>2023</v>
      </c>
    </row>
    <row r="630" spans="1:21" x14ac:dyDescent="0.3">
      <c r="A630" t="s">
        <v>740</v>
      </c>
      <c r="B630" t="s">
        <v>37</v>
      </c>
      <c r="C630" t="s">
        <v>38</v>
      </c>
      <c r="D630" t="s">
        <v>188</v>
      </c>
      <c r="E630" s="1">
        <v>45193</v>
      </c>
      <c r="F630" t="s">
        <v>40</v>
      </c>
      <c r="G630" t="s">
        <v>41</v>
      </c>
      <c r="H630">
        <v>1</v>
      </c>
      <c r="I630">
        <v>50155</v>
      </c>
      <c r="J630">
        <v>50155</v>
      </c>
      <c r="K630">
        <v>29449</v>
      </c>
      <c r="L630">
        <v>5283</v>
      </c>
      <c r="M630">
        <v>15423</v>
      </c>
      <c r="N630">
        <v>29</v>
      </c>
      <c r="O630" t="s">
        <v>34</v>
      </c>
      <c r="P630" t="s">
        <v>28</v>
      </c>
      <c r="Q630" s="1">
        <v>45193</v>
      </c>
      <c r="R630" s="1">
        <v>45108</v>
      </c>
      <c r="S630" t="s">
        <v>104</v>
      </c>
      <c r="T630" s="1">
        <v>45170</v>
      </c>
      <c r="U630">
        <v>2023</v>
      </c>
    </row>
    <row r="631" spans="1:21" x14ac:dyDescent="0.3">
      <c r="A631" t="s">
        <v>741</v>
      </c>
      <c r="B631" t="s">
        <v>72</v>
      </c>
      <c r="C631" t="s">
        <v>47</v>
      </c>
      <c r="D631" t="s">
        <v>24</v>
      </c>
      <c r="E631" s="1">
        <v>44942</v>
      </c>
      <c r="F631" t="s">
        <v>49</v>
      </c>
      <c r="G631" t="s">
        <v>26</v>
      </c>
      <c r="H631">
        <v>1</v>
      </c>
      <c r="I631">
        <v>33585</v>
      </c>
      <c r="J631">
        <v>33585</v>
      </c>
      <c r="K631">
        <v>17856</v>
      </c>
      <c r="L631">
        <v>5486</v>
      </c>
      <c r="M631">
        <v>10243</v>
      </c>
      <c r="N631">
        <v>3</v>
      </c>
      <c r="O631" t="s">
        <v>27</v>
      </c>
      <c r="P631" t="s">
        <v>51</v>
      </c>
      <c r="Q631" s="1">
        <v>44941</v>
      </c>
      <c r="R631" s="1">
        <v>44927</v>
      </c>
      <c r="S631" t="s">
        <v>95</v>
      </c>
      <c r="T631" s="1">
        <v>44927</v>
      </c>
      <c r="U631">
        <v>2023</v>
      </c>
    </row>
    <row r="632" spans="1:21" x14ac:dyDescent="0.3">
      <c r="A632" t="s">
        <v>742</v>
      </c>
      <c r="B632" t="s">
        <v>46</v>
      </c>
      <c r="C632" t="s">
        <v>47</v>
      </c>
      <c r="D632" t="s">
        <v>128</v>
      </c>
      <c r="E632" s="1">
        <v>44951</v>
      </c>
      <c r="F632" t="s">
        <v>25</v>
      </c>
      <c r="G632" t="s">
        <v>81</v>
      </c>
      <c r="H632">
        <v>8</v>
      </c>
      <c r="I632">
        <v>54727</v>
      </c>
      <c r="J632">
        <v>437816</v>
      </c>
      <c r="K632">
        <v>176604</v>
      </c>
      <c r="L632">
        <v>52316</v>
      </c>
      <c r="M632">
        <v>208896</v>
      </c>
      <c r="N632">
        <v>14</v>
      </c>
      <c r="O632" t="s">
        <v>42</v>
      </c>
      <c r="P632" t="s">
        <v>43</v>
      </c>
      <c r="Q632" s="1">
        <v>44948</v>
      </c>
      <c r="R632" s="1">
        <v>44927</v>
      </c>
      <c r="S632" t="s">
        <v>95</v>
      </c>
      <c r="T632" s="1">
        <v>44927</v>
      </c>
      <c r="U632">
        <v>2023</v>
      </c>
    </row>
    <row r="633" spans="1:21" x14ac:dyDescent="0.3">
      <c r="A633" t="s">
        <v>743</v>
      </c>
      <c r="B633" t="s">
        <v>72</v>
      </c>
      <c r="C633" t="s">
        <v>47</v>
      </c>
      <c r="D633" t="s">
        <v>196</v>
      </c>
      <c r="E633" s="1">
        <v>44941</v>
      </c>
      <c r="F633" t="s">
        <v>25</v>
      </c>
      <c r="G633" t="s">
        <v>81</v>
      </c>
      <c r="H633">
        <v>9</v>
      </c>
      <c r="I633">
        <v>63515</v>
      </c>
      <c r="J633">
        <v>571635</v>
      </c>
      <c r="K633">
        <v>227062</v>
      </c>
      <c r="L633">
        <v>104544</v>
      </c>
      <c r="M633">
        <v>240029</v>
      </c>
      <c r="N633">
        <v>11</v>
      </c>
      <c r="O633" t="s">
        <v>34</v>
      </c>
      <c r="P633" t="s">
        <v>28</v>
      </c>
      <c r="Q633" s="1">
        <v>44941</v>
      </c>
      <c r="R633" s="1">
        <v>44927</v>
      </c>
      <c r="S633" t="s">
        <v>95</v>
      </c>
      <c r="T633" s="1">
        <v>44927</v>
      </c>
      <c r="U633">
        <v>2023</v>
      </c>
    </row>
    <row r="634" spans="1:21" x14ac:dyDescent="0.3">
      <c r="A634" t="s">
        <v>744</v>
      </c>
      <c r="B634" t="s">
        <v>37</v>
      </c>
      <c r="C634" t="s">
        <v>38</v>
      </c>
      <c r="D634" t="s">
        <v>209</v>
      </c>
      <c r="E634" s="1">
        <v>45019</v>
      </c>
      <c r="F634" t="s">
        <v>57</v>
      </c>
      <c r="G634" t="s">
        <v>98</v>
      </c>
      <c r="H634">
        <v>9</v>
      </c>
      <c r="I634">
        <v>23865</v>
      </c>
      <c r="J634">
        <v>214785</v>
      </c>
      <c r="K634">
        <v>103896</v>
      </c>
      <c r="L634">
        <v>24285</v>
      </c>
      <c r="M634">
        <v>86604</v>
      </c>
      <c r="N634">
        <v>30</v>
      </c>
      <c r="O634" t="s">
        <v>61</v>
      </c>
      <c r="P634" t="s">
        <v>51</v>
      </c>
      <c r="Q634" s="1">
        <v>45018</v>
      </c>
      <c r="R634" s="1">
        <v>45017</v>
      </c>
      <c r="S634" t="s">
        <v>74</v>
      </c>
      <c r="T634" s="1">
        <v>45017</v>
      </c>
      <c r="U634">
        <v>2023</v>
      </c>
    </row>
    <row r="635" spans="1:21" x14ac:dyDescent="0.3">
      <c r="A635" t="s">
        <v>745</v>
      </c>
      <c r="B635" t="s">
        <v>37</v>
      </c>
      <c r="C635" t="s">
        <v>38</v>
      </c>
      <c r="D635" t="s">
        <v>221</v>
      </c>
      <c r="E635" s="1">
        <v>45144</v>
      </c>
      <c r="F635" t="s">
        <v>49</v>
      </c>
      <c r="G635" t="s">
        <v>33</v>
      </c>
      <c r="H635">
        <v>9</v>
      </c>
      <c r="I635">
        <v>22205</v>
      </c>
      <c r="J635">
        <v>199845</v>
      </c>
      <c r="K635">
        <v>69766</v>
      </c>
      <c r="L635">
        <v>27163</v>
      </c>
      <c r="M635">
        <v>102916</v>
      </c>
      <c r="N635">
        <v>0</v>
      </c>
      <c r="O635" t="s">
        <v>27</v>
      </c>
      <c r="P635" t="s">
        <v>28</v>
      </c>
      <c r="Q635" s="1">
        <v>45144</v>
      </c>
      <c r="R635" s="1">
        <v>45108</v>
      </c>
      <c r="S635" t="s">
        <v>92</v>
      </c>
      <c r="T635" s="1">
        <v>45139</v>
      </c>
      <c r="U635">
        <v>2023</v>
      </c>
    </row>
    <row r="636" spans="1:21" x14ac:dyDescent="0.3">
      <c r="A636" t="s">
        <v>746</v>
      </c>
      <c r="B636" t="s">
        <v>46</v>
      </c>
      <c r="C636" t="s">
        <v>47</v>
      </c>
      <c r="D636" t="s">
        <v>111</v>
      </c>
      <c r="E636" s="1">
        <v>45227</v>
      </c>
      <c r="F636" t="s">
        <v>25</v>
      </c>
      <c r="G636" t="s">
        <v>33</v>
      </c>
      <c r="H636">
        <v>6</v>
      </c>
      <c r="I636">
        <v>30557</v>
      </c>
      <c r="J636">
        <v>183342</v>
      </c>
      <c r="K636">
        <v>102318</v>
      </c>
      <c r="L636">
        <v>26843</v>
      </c>
      <c r="M636">
        <v>54181</v>
      </c>
      <c r="N636">
        <v>5</v>
      </c>
      <c r="O636" t="s">
        <v>61</v>
      </c>
      <c r="P636" t="s">
        <v>67</v>
      </c>
      <c r="Q636" s="1">
        <v>45221</v>
      </c>
      <c r="R636" s="1">
        <v>45200</v>
      </c>
      <c r="S636" t="s">
        <v>52</v>
      </c>
      <c r="T636" s="1">
        <v>45200</v>
      </c>
      <c r="U636">
        <v>2023</v>
      </c>
    </row>
    <row r="637" spans="1:21" x14ac:dyDescent="0.3">
      <c r="A637" t="s">
        <v>747</v>
      </c>
      <c r="B637" t="s">
        <v>46</v>
      </c>
      <c r="C637" t="s">
        <v>47</v>
      </c>
      <c r="D637" t="s">
        <v>89</v>
      </c>
      <c r="E637" s="1">
        <v>45246</v>
      </c>
      <c r="F637" t="s">
        <v>49</v>
      </c>
      <c r="G637" t="s">
        <v>33</v>
      </c>
      <c r="H637">
        <v>6</v>
      </c>
      <c r="I637">
        <v>52625</v>
      </c>
      <c r="J637">
        <v>315750</v>
      </c>
      <c r="K637">
        <v>108476</v>
      </c>
      <c r="L637">
        <v>49045</v>
      </c>
      <c r="M637">
        <v>158229</v>
      </c>
      <c r="N637">
        <v>25</v>
      </c>
      <c r="O637" t="s">
        <v>61</v>
      </c>
      <c r="P637" t="s">
        <v>84</v>
      </c>
      <c r="Q637" s="1">
        <v>45242</v>
      </c>
      <c r="R637" s="1">
        <v>45200</v>
      </c>
      <c r="S637" t="s">
        <v>138</v>
      </c>
      <c r="T637" s="1">
        <v>45231</v>
      </c>
      <c r="U637">
        <v>2023</v>
      </c>
    </row>
    <row r="638" spans="1:21" x14ac:dyDescent="0.3">
      <c r="A638" t="s">
        <v>748</v>
      </c>
      <c r="B638" t="s">
        <v>46</v>
      </c>
      <c r="C638" t="s">
        <v>47</v>
      </c>
      <c r="D638" t="s">
        <v>137</v>
      </c>
      <c r="E638" s="1">
        <v>45141</v>
      </c>
      <c r="F638" t="s">
        <v>57</v>
      </c>
      <c r="G638" t="s">
        <v>58</v>
      </c>
      <c r="H638">
        <v>4</v>
      </c>
      <c r="I638">
        <v>37832</v>
      </c>
      <c r="J638">
        <v>151328</v>
      </c>
      <c r="K638">
        <v>57405</v>
      </c>
      <c r="L638">
        <v>18814</v>
      </c>
      <c r="M638">
        <v>75109</v>
      </c>
      <c r="N638">
        <v>21</v>
      </c>
      <c r="O638" t="s">
        <v>50</v>
      </c>
      <c r="P638" t="s">
        <v>84</v>
      </c>
      <c r="Q638" s="1">
        <v>45137</v>
      </c>
      <c r="R638" s="1">
        <v>45108</v>
      </c>
      <c r="S638" t="s">
        <v>92</v>
      </c>
      <c r="T638" s="1">
        <v>45139</v>
      </c>
      <c r="U638">
        <v>2023</v>
      </c>
    </row>
    <row r="639" spans="1:21" x14ac:dyDescent="0.3">
      <c r="A639" t="s">
        <v>749</v>
      </c>
      <c r="B639" t="s">
        <v>37</v>
      </c>
      <c r="C639" t="s">
        <v>38</v>
      </c>
      <c r="D639" t="s">
        <v>119</v>
      </c>
      <c r="E639" s="1">
        <v>44963</v>
      </c>
      <c r="F639" t="s">
        <v>57</v>
      </c>
      <c r="G639" t="s">
        <v>58</v>
      </c>
      <c r="H639">
        <v>6</v>
      </c>
      <c r="I639">
        <v>62090</v>
      </c>
      <c r="J639">
        <v>372540</v>
      </c>
      <c r="K639">
        <v>120587</v>
      </c>
      <c r="L639">
        <v>69454</v>
      </c>
      <c r="M639">
        <v>182499</v>
      </c>
      <c r="N639">
        <v>4</v>
      </c>
      <c r="O639" t="s">
        <v>34</v>
      </c>
      <c r="P639" t="s">
        <v>51</v>
      </c>
      <c r="Q639" s="1">
        <v>44962</v>
      </c>
      <c r="R639" s="1">
        <v>44927</v>
      </c>
      <c r="S639" t="s">
        <v>85</v>
      </c>
      <c r="T639" s="1">
        <v>44958</v>
      </c>
      <c r="U639">
        <v>2023</v>
      </c>
    </row>
    <row r="640" spans="1:21" x14ac:dyDescent="0.3">
      <c r="A640" t="s">
        <v>750</v>
      </c>
      <c r="B640" t="s">
        <v>72</v>
      </c>
      <c r="C640" t="s">
        <v>47</v>
      </c>
      <c r="D640" t="s">
        <v>39</v>
      </c>
      <c r="E640" s="1">
        <v>45224</v>
      </c>
      <c r="F640" t="s">
        <v>40</v>
      </c>
      <c r="G640" t="s">
        <v>64</v>
      </c>
      <c r="H640">
        <v>10</v>
      </c>
      <c r="I640">
        <v>55957</v>
      </c>
      <c r="J640">
        <v>559570</v>
      </c>
      <c r="K640">
        <v>229828</v>
      </c>
      <c r="L640">
        <v>106581</v>
      </c>
      <c r="M640">
        <v>223161</v>
      </c>
      <c r="N640">
        <v>26</v>
      </c>
      <c r="O640" t="s">
        <v>50</v>
      </c>
      <c r="P640" t="s">
        <v>43</v>
      </c>
      <c r="Q640" s="1">
        <v>45221</v>
      </c>
      <c r="R640" s="1">
        <v>45200</v>
      </c>
      <c r="S640" t="s">
        <v>52</v>
      </c>
      <c r="T640" s="1">
        <v>45200</v>
      </c>
      <c r="U640">
        <v>2023</v>
      </c>
    </row>
    <row r="641" spans="1:21" x14ac:dyDescent="0.3">
      <c r="A641" t="s">
        <v>751</v>
      </c>
      <c r="B641" t="s">
        <v>46</v>
      </c>
      <c r="C641" t="s">
        <v>47</v>
      </c>
      <c r="D641" t="s">
        <v>117</v>
      </c>
      <c r="E641" s="1">
        <v>45198</v>
      </c>
      <c r="F641" t="s">
        <v>25</v>
      </c>
      <c r="G641" t="s">
        <v>41</v>
      </c>
      <c r="H641">
        <v>8</v>
      </c>
      <c r="I641">
        <v>2818</v>
      </c>
      <c r="J641">
        <v>22544</v>
      </c>
      <c r="K641">
        <v>7462</v>
      </c>
      <c r="L641">
        <v>3937</v>
      </c>
      <c r="M641">
        <v>11145</v>
      </c>
      <c r="N641">
        <v>42</v>
      </c>
      <c r="O641" t="s">
        <v>61</v>
      </c>
      <c r="P641" t="s">
        <v>99</v>
      </c>
      <c r="Q641" s="1">
        <v>45193</v>
      </c>
      <c r="R641" s="1">
        <v>45108</v>
      </c>
      <c r="S641" t="s">
        <v>104</v>
      </c>
      <c r="T641" s="1">
        <v>45170</v>
      </c>
      <c r="U641">
        <v>2023</v>
      </c>
    </row>
    <row r="642" spans="1:21" x14ac:dyDescent="0.3">
      <c r="A642" t="s">
        <v>752</v>
      </c>
      <c r="B642" t="s">
        <v>31</v>
      </c>
      <c r="C642" t="s">
        <v>23</v>
      </c>
      <c r="D642" t="s">
        <v>114</v>
      </c>
      <c r="E642" s="1">
        <v>44989</v>
      </c>
      <c r="F642" t="s">
        <v>49</v>
      </c>
      <c r="G642" t="s">
        <v>81</v>
      </c>
      <c r="H642">
        <v>4</v>
      </c>
      <c r="I642">
        <v>69680</v>
      </c>
      <c r="J642">
        <v>278720</v>
      </c>
      <c r="K642">
        <v>119477</v>
      </c>
      <c r="L642">
        <v>39816</v>
      </c>
      <c r="M642">
        <v>119427</v>
      </c>
      <c r="N642">
        <v>12</v>
      </c>
      <c r="O642" t="s">
        <v>61</v>
      </c>
      <c r="P642" t="s">
        <v>67</v>
      </c>
      <c r="Q642" s="1">
        <v>44983</v>
      </c>
      <c r="R642" s="1">
        <v>44927</v>
      </c>
      <c r="S642" t="s">
        <v>44</v>
      </c>
      <c r="T642" s="1">
        <v>44986</v>
      </c>
      <c r="U642">
        <v>2023</v>
      </c>
    </row>
    <row r="643" spans="1:21" x14ac:dyDescent="0.3">
      <c r="A643" t="s">
        <v>753</v>
      </c>
      <c r="B643" t="s">
        <v>31</v>
      </c>
      <c r="C643" t="s">
        <v>23</v>
      </c>
      <c r="D643" t="s">
        <v>117</v>
      </c>
      <c r="E643" s="1">
        <v>45238</v>
      </c>
      <c r="F643" t="s">
        <v>49</v>
      </c>
      <c r="G643" t="s">
        <v>41</v>
      </c>
      <c r="H643">
        <v>8</v>
      </c>
      <c r="I643">
        <v>8659</v>
      </c>
      <c r="J643">
        <v>69272</v>
      </c>
      <c r="K643">
        <v>35079</v>
      </c>
      <c r="L643">
        <v>9210</v>
      </c>
      <c r="M643">
        <v>24983</v>
      </c>
      <c r="N643">
        <v>1</v>
      </c>
      <c r="O643" t="s">
        <v>34</v>
      </c>
      <c r="P643" t="s">
        <v>43</v>
      </c>
      <c r="Q643" s="1">
        <v>45235</v>
      </c>
      <c r="R643" s="1">
        <v>45200</v>
      </c>
      <c r="S643" t="s">
        <v>138</v>
      </c>
      <c r="T643" s="1">
        <v>45231</v>
      </c>
      <c r="U643">
        <v>2023</v>
      </c>
    </row>
    <row r="644" spans="1:21" x14ac:dyDescent="0.3">
      <c r="A644" t="s">
        <v>754</v>
      </c>
      <c r="B644" t="s">
        <v>46</v>
      </c>
      <c r="C644" t="s">
        <v>47</v>
      </c>
      <c r="D644" t="s">
        <v>176</v>
      </c>
      <c r="E644" s="1">
        <v>45085</v>
      </c>
      <c r="F644" t="s">
        <v>49</v>
      </c>
      <c r="G644" t="s">
        <v>26</v>
      </c>
      <c r="H644">
        <v>10</v>
      </c>
      <c r="I644">
        <v>28934</v>
      </c>
      <c r="J644">
        <v>289340</v>
      </c>
      <c r="K644">
        <v>107056</v>
      </c>
      <c r="L644">
        <v>29809</v>
      </c>
      <c r="M644">
        <v>152475</v>
      </c>
      <c r="N644">
        <v>49</v>
      </c>
      <c r="O644" t="s">
        <v>50</v>
      </c>
      <c r="P644" t="s">
        <v>84</v>
      </c>
      <c r="Q644" s="1">
        <v>45081</v>
      </c>
      <c r="R644" s="1">
        <v>45017</v>
      </c>
      <c r="S644" t="s">
        <v>35</v>
      </c>
      <c r="T644" s="1">
        <v>45078</v>
      </c>
      <c r="U644">
        <v>2023</v>
      </c>
    </row>
    <row r="645" spans="1:21" x14ac:dyDescent="0.3">
      <c r="A645" t="s">
        <v>755</v>
      </c>
      <c r="B645" t="s">
        <v>46</v>
      </c>
      <c r="C645" t="s">
        <v>47</v>
      </c>
      <c r="D645" t="s">
        <v>97</v>
      </c>
      <c r="E645" s="1">
        <v>45147</v>
      </c>
      <c r="F645" t="s">
        <v>57</v>
      </c>
      <c r="G645" t="s">
        <v>41</v>
      </c>
      <c r="H645">
        <v>9</v>
      </c>
      <c r="I645">
        <v>29045</v>
      </c>
      <c r="J645">
        <v>261405</v>
      </c>
      <c r="K645">
        <v>153645</v>
      </c>
      <c r="L645">
        <v>31815</v>
      </c>
      <c r="M645">
        <v>75945</v>
      </c>
      <c r="N645">
        <v>34</v>
      </c>
      <c r="O645" t="s">
        <v>42</v>
      </c>
      <c r="P645" t="s">
        <v>43</v>
      </c>
      <c r="Q645" s="1">
        <v>45144</v>
      </c>
      <c r="R645" s="1">
        <v>45108</v>
      </c>
      <c r="S645" t="s">
        <v>92</v>
      </c>
      <c r="T645" s="1">
        <v>45139</v>
      </c>
      <c r="U645">
        <v>2023</v>
      </c>
    </row>
    <row r="646" spans="1:21" x14ac:dyDescent="0.3">
      <c r="A646" t="s">
        <v>756</v>
      </c>
      <c r="B646" t="s">
        <v>72</v>
      </c>
      <c r="C646" t="s">
        <v>47</v>
      </c>
      <c r="D646" t="s">
        <v>24</v>
      </c>
      <c r="E646" s="1">
        <v>45117</v>
      </c>
      <c r="F646" t="s">
        <v>49</v>
      </c>
      <c r="G646" t="s">
        <v>64</v>
      </c>
      <c r="H646">
        <v>10</v>
      </c>
      <c r="I646">
        <v>25801</v>
      </c>
      <c r="J646">
        <v>258010</v>
      </c>
      <c r="K646">
        <v>98989</v>
      </c>
      <c r="L646">
        <v>43775</v>
      </c>
      <c r="M646">
        <v>115246</v>
      </c>
      <c r="N646">
        <v>47</v>
      </c>
      <c r="O646" t="s">
        <v>50</v>
      </c>
      <c r="P646" t="s">
        <v>51</v>
      </c>
      <c r="Q646" s="1">
        <v>45116</v>
      </c>
      <c r="R646" s="1">
        <v>45108</v>
      </c>
      <c r="S646" t="s">
        <v>29</v>
      </c>
      <c r="T646" s="1">
        <v>45108</v>
      </c>
      <c r="U646">
        <v>2023</v>
      </c>
    </row>
    <row r="647" spans="1:21" x14ac:dyDescent="0.3">
      <c r="A647" t="s">
        <v>757</v>
      </c>
      <c r="B647" t="s">
        <v>46</v>
      </c>
      <c r="C647" t="s">
        <v>47</v>
      </c>
      <c r="D647" t="s">
        <v>83</v>
      </c>
      <c r="E647" s="1">
        <v>45154</v>
      </c>
      <c r="F647" t="s">
        <v>57</v>
      </c>
      <c r="G647" t="s">
        <v>98</v>
      </c>
      <c r="H647">
        <v>3</v>
      </c>
      <c r="I647">
        <v>44062</v>
      </c>
      <c r="J647">
        <v>132186</v>
      </c>
      <c r="K647">
        <v>52282</v>
      </c>
      <c r="L647">
        <v>13269</v>
      </c>
      <c r="M647">
        <v>66635</v>
      </c>
      <c r="N647">
        <v>15</v>
      </c>
      <c r="O647" t="s">
        <v>34</v>
      </c>
      <c r="P647" t="s">
        <v>43</v>
      </c>
      <c r="Q647" s="1">
        <v>45151</v>
      </c>
      <c r="R647" s="1">
        <v>45108</v>
      </c>
      <c r="S647" t="s">
        <v>92</v>
      </c>
      <c r="T647" s="1">
        <v>45139</v>
      </c>
      <c r="U647">
        <v>2023</v>
      </c>
    </row>
    <row r="648" spans="1:21" x14ac:dyDescent="0.3">
      <c r="A648" t="s">
        <v>758</v>
      </c>
      <c r="B648" t="s">
        <v>46</v>
      </c>
      <c r="C648" t="s">
        <v>47</v>
      </c>
      <c r="D648" t="s">
        <v>121</v>
      </c>
      <c r="E648" s="1">
        <v>45173</v>
      </c>
      <c r="F648" t="s">
        <v>40</v>
      </c>
      <c r="G648" t="s">
        <v>26</v>
      </c>
      <c r="H648">
        <v>10</v>
      </c>
      <c r="I648">
        <v>61097</v>
      </c>
      <c r="J648">
        <v>610970</v>
      </c>
      <c r="K648">
        <v>246038</v>
      </c>
      <c r="L648">
        <v>93187</v>
      </c>
      <c r="M648">
        <v>271745</v>
      </c>
      <c r="N648">
        <v>43</v>
      </c>
      <c r="O648" t="s">
        <v>34</v>
      </c>
      <c r="P648" t="s">
        <v>51</v>
      </c>
      <c r="Q648" s="1">
        <v>45172</v>
      </c>
      <c r="R648" s="1">
        <v>45108</v>
      </c>
      <c r="S648" t="s">
        <v>104</v>
      </c>
      <c r="T648" s="1">
        <v>45170</v>
      </c>
      <c r="U648">
        <v>2023</v>
      </c>
    </row>
    <row r="649" spans="1:21" x14ac:dyDescent="0.3">
      <c r="A649" t="s">
        <v>759</v>
      </c>
      <c r="B649" t="s">
        <v>22</v>
      </c>
      <c r="C649" t="s">
        <v>23</v>
      </c>
      <c r="D649" t="s">
        <v>190</v>
      </c>
      <c r="E649" s="1">
        <v>45200</v>
      </c>
      <c r="F649" t="s">
        <v>49</v>
      </c>
      <c r="G649" t="s">
        <v>58</v>
      </c>
      <c r="H649">
        <v>3</v>
      </c>
      <c r="I649">
        <v>49631</v>
      </c>
      <c r="J649">
        <v>148893</v>
      </c>
      <c r="K649">
        <v>48879</v>
      </c>
      <c r="L649">
        <v>29429</v>
      </c>
      <c r="M649">
        <v>70585</v>
      </c>
      <c r="N649">
        <v>34</v>
      </c>
      <c r="O649" t="s">
        <v>27</v>
      </c>
      <c r="P649" t="s">
        <v>28</v>
      </c>
      <c r="Q649" s="1">
        <v>45200</v>
      </c>
      <c r="R649" s="1">
        <v>45200</v>
      </c>
      <c r="S649" t="s">
        <v>52</v>
      </c>
      <c r="T649" s="1">
        <v>45200</v>
      </c>
      <c r="U649">
        <v>2023</v>
      </c>
    </row>
    <row r="650" spans="1:21" x14ac:dyDescent="0.3">
      <c r="A650" t="s">
        <v>760</v>
      </c>
      <c r="B650" t="s">
        <v>31</v>
      </c>
      <c r="C650" t="s">
        <v>23</v>
      </c>
      <c r="D650" t="s">
        <v>148</v>
      </c>
      <c r="E650" s="1">
        <v>45047</v>
      </c>
      <c r="F650" t="s">
        <v>49</v>
      </c>
      <c r="G650" t="s">
        <v>64</v>
      </c>
      <c r="H650">
        <v>3</v>
      </c>
      <c r="I650">
        <v>40297</v>
      </c>
      <c r="J650">
        <v>120891</v>
      </c>
      <c r="K650">
        <v>47593</v>
      </c>
      <c r="L650">
        <v>12315</v>
      </c>
      <c r="M650">
        <v>60983</v>
      </c>
      <c r="N650">
        <v>46</v>
      </c>
      <c r="O650" t="s">
        <v>50</v>
      </c>
      <c r="P650" t="s">
        <v>51</v>
      </c>
      <c r="Q650" s="1">
        <v>45046</v>
      </c>
      <c r="R650" s="1">
        <v>45017</v>
      </c>
      <c r="S650" t="s">
        <v>68</v>
      </c>
      <c r="T650" s="1">
        <v>45047</v>
      </c>
      <c r="U650">
        <v>2023</v>
      </c>
    </row>
    <row r="651" spans="1:21" x14ac:dyDescent="0.3">
      <c r="A651" t="s">
        <v>761</v>
      </c>
      <c r="B651" t="s">
        <v>37</v>
      </c>
      <c r="C651" t="s">
        <v>38</v>
      </c>
      <c r="D651" t="s">
        <v>168</v>
      </c>
      <c r="E651" s="1">
        <v>45181</v>
      </c>
      <c r="F651" t="s">
        <v>25</v>
      </c>
      <c r="G651" t="s">
        <v>33</v>
      </c>
      <c r="H651">
        <v>6</v>
      </c>
      <c r="I651">
        <v>13857</v>
      </c>
      <c r="J651">
        <v>83142</v>
      </c>
      <c r="K651">
        <v>38861</v>
      </c>
      <c r="L651">
        <v>8425</v>
      </c>
      <c r="M651">
        <v>35856</v>
      </c>
      <c r="N651">
        <v>50</v>
      </c>
      <c r="O651" t="s">
        <v>61</v>
      </c>
      <c r="P651" t="s">
        <v>62</v>
      </c>
      <c r="Q651" s="1">
        <v>45179</v>
      </c>
      <c r="R651" s="1">
        <v>45108</v>
      </c>
      <c r="S651" t="s">
        <v>104</v>
      </c>
      <c r="T651" s="1">
        <v>45170</v>
      </c>
      <c r="U651">
        <v>2023</v>
      </c>
    </row>
    <row r="652" spans="1:21" x14ac:dyDescent="0.3">
      <c r="A652" t="s">
        <v>762</v>
      </c>
      <c r="B652" t="s">
        <v>31</v>
      </c>
      <c r="C652" t="s">
        <v>23</v>
      </c>
      <c r="D652" t="s">
        <v>121</v>
      </c>
      <c r="E652" s="1">
        <v>45050</v>
      </c>
      <c r="F652" t="s">
        <v>40</v>
      </c>
      <c r="G652" t="s">
        <v>64</v>
      </c>
      <c r="H652">
        <v>5</v>
      </c>
      <c r="I652">
        <v>41288</v>
      </c>
      <c r="J652">
        <v>206440</v>
      </c>
      <c r="K652">
        <v>102456</v>
      </c>
      <c r="L652">
        <v>25246</v>
      </c>
      <c r="M652">
        <v>78738</v>
      </c>
      <c r="N652">
        <v>35</v>
      </c>
      <c r="O652" t="s">
        <v>34</v>
      </c>
      <c r="P652" t="s">
        <v>84</v>
      </c>
      <c r="Q652" s="1">
        <v>45046</v>
      </c>
      <c r="R652" s="1">
        <v>45017</v>
      </c>
      <c r="S652" t="s">
        <v>68</v>
      </c>
      <c r="T652" s="1">
        <v>45047</v>
      </c>
      <c r="U652">
        <v>2023</v>
      </c>
    </row>
    <row r="653" spans="1:21" x14ac:dyDescent="0.3">
      <c r="A653" t="s">
        <v>763</v>
      </c>
      <c r="B653" t="s">
        <v>37</v>
      </c>
      <c r="C653" t="s">
        <v>38</v>
      </c>
      <c r="D653" t="s">
        <v>301</v>
      </c>
      <c r="E653" s="1">
        <v>44954</v>
      </c>
      <c r="F653" t="s">
        <v>57</v>
      </c>
      <c r="G653" t="s">
        <v>41</v>
      </c>
      <c r="H653">
        <v>3</v>
      </c>
      <c r="I653">
        <v>28083</v>
      </c>
      <c r="J653">
        <v>84249</v>
      </c>
      <c r="K653">
        <v>39949</v>
      </c>
      <c r="L653">
        <v>14508</v>
      </c>
      <c r="M653">
        <v>29792</v>
      </c>
      <c r="N653">
        <v>14</v>
      </c>
      <c r="O653" t="s">
        <v>34</v>
      </c>
      <c r="P653" t="s">
        <v>67</v>
      </c>
      <c r="Q653" s="1">
        <v>44948</v>
      </c>
      <c r="R653" s="1">
        <v>44927</v>
      </c>
      <c r="S653" t="s">
        <v>95</v>
      </c>
      <c r="T653" s="1">
        <v>44927</v>
      </c>
      <c r="U653">
        <v>2023</v>
      </c>
    </row>
    <row r="654" spans="1:21" x14ac:dyDescent="0.3">
      <c r="A654" t="s">
        <v>764</v>
      </c>
      <c r="B654" t="s">
        <v>31</v>
      </c>
      <c r="C654" t="s">
        <v>23</v>
      </c>
      <c r="D654" t="s">
        <v>73</v>
      </c>
      <c r="E654" s="1">
        <v>45108</v>
      </c>
      <c r="F654" t="s">
        <v>49</v>
      </c>
      <c r="G654" t="s">
        <v>64</v>
      </c>
      <c r="H654">
        <v>4</v>
      </c>
      <c r="I654">
        <v>32299</v>
      </c>
      <c r="J654">
        <v>129196</v>
      </c>
      <c r="K654">
        <v>65876</v>
      </c>
      <c r="L654">
        <v>20178</v>
      </c>
      <c r="M654">
        <v>43142</v>
      </c>
      <c r="N654">
        <v>31</v>
      </c>
      <c r="O654" t="s">
        <v>27</v>
      </c>
      <c r="P654" t="s">
        <v>67</v>
      </c>
      <c r="Q654" s="1">
        <v>45102</v>
      </c>
      <c r="R654" s="1">
        <v>45108</v>
      </c>
      <c r="S654" t="s">
        <v>29</v>
      </c>
      <c r="T654" s="1">
        <v>45108</v>
      </c>
      <c r="U654">
        <v>2023</v>
      </c>
    </row>
    <row r="655" spans="1:21" x14ac:dyDescent="0.3">
      <c r="A655" t="s">
        <v>765</v>
      </c>
      <c r="B655" t="s">
        <v>46</v>
      </c>
      <c r="C655" t="s">
        <v>47</v>
      </c>
      <c r="D655" t="s">
        <v>101</v>
      </c>
      <c r="E655" s="1">
        <v>45018</v>
      </c>
      <c r="F655" t="s">
        <v>57</v>
      </c>
      <c r="G655" t="s">
        <v>33</v>
      </c>
      <c r="H655">
        <v>9</v>
      </c>
      <c r="I655">
        <v>34720</v>
      </c>
      <c r="J655">
        <v>312480</v>
      </c>
      <c r="K655">
        <v>143318</v>
      </c>
      <c r="L655">
        <v>32660</v>
      </c>
      <c r="M655">
        <v>136502</v>
      </c>
      <c r="N655">
        <v>34</v>
      </c>
      <c r="O655" t="s">
        <v>61</v>
      </c>
      <c r="P655" t="s">
        <v>28</v>
      </c>
      <c r="Q655" s="1">
        <v>45018</v>
      </c>
      <c r="R655" s="1">
        <v>45017</v>
      </c>
      <c r="S655" t="s">
        <v>74</v>
      </c>
      <c r="T655" s="1">
        <v>45017</v>
      </c>
      <c r="U655">
        <v>2023</v>
      </c>
    </row>
    <row r="656" spans="1:21" x14ac:dyDescent="0.3">
      <c r="A656" t="s">
        <v>766</v>
      </c>
      <c r="B656" t="s">
        <v>22</v>
      </c>
      <c r="C656" t="s">
        <v>23</v>
      </c>
      <c r="D656" t="s">
        <v>101</v>
      </c>
      <c r="E656" s="1">
        <v>45130</v>
      </c>
      <c r="F656" t="s">
        <v>25</v>
      </c>
      <c r="G656" t="s">
        <v>33</v>
      </c>
      <c r="H656">
        <v>6</v>
      </c>
      <c r="I656">
        <v>2536</v>
      </c>
      <c r="J656">
        <v>15216</v>
      </c>
      <c r="K656">
        <v>6706</v>
      </c>
      <c r="L656">
        <v>2236</v>
      </c>
      <c r="M656">
        <v>6274</v>
      </c>
      <c r="N656">
        <v>5</v>
      </c>
      <c r="O656" t="s">
        <v>42</v>
      </c>
      <c r="P656" t="s">
        <v>28</v>
      </c>
      <c r="Q656" s="1">
        <v>45130</v>
      </c>
      <c r="R656" s="1">
        <v>45108</v>
      </c>
      <c r="S656" t="s">
        <v>29</v>
      </c>
      <c r="T656" s="1">
        <v>45108</v>
      </c>
      <c r="U656">
        <v>2023</v>
      </c>
    </row>
    <row r="657" spans="1:21" x14ac:dyDescent="0.3">
      <c r="A657" t="s">
        <v>767</v>
      </c>
      <c r="B657" t="s">
        <v>37</v>
      </c>
      <c r="C657" t="s">
        <v>38</v>
      </c>
      <c r="D657" t="s">
        <v>133</v>
      </c>
      <c r="E657" s="1">
        <v>44987</v>
      </c>
      <c r="F657" t="s">
        <v>40</v>
      </c>
      <c r="G657" t="s">
        <v>81</v>
      </c>
      <c r="H657">
        <v>4</v>
      </c>
      <c r="I657">
        <v>32092</v>
      </c>
      <c r="J657">
        <v>128368</v>
      </c>
      <c r="K657">
        <v>46831</v>
      </c>
      <c r="L657">
        <v>22732</v>
      </c>
      <c r="M657">
        <v>58805</v>
      </c>
      <c r="N657">
        <v>29</v>
      </c>
      <c r="O657" t="s">
        <v>27</v>
      </c>
      <c r="P657" t="s">
        <v>84</v>
      </c>
      <c r="Q657" s="1">
        <v>44983</v>
      </c>
      <c r="R657" s="1">
        <v>44927</v>
      </c>
      <c r="S657" t="s">
        <v>44</v>
      </c>
      <c r="T657" s="1">
        <v>44986</v>
      </c>
      <c r="U657">
        <v>2023</v>
      </c>
    </row>
    <row r="658" spans="1:21" x14ac:dyDescent="0.3">
      <c r="A658" t="s">
        <v>768</v>
      </c>
      <c r="B658" t="s">
        <v>31</v>
      </c>
      <c r="C658" t="s">
        <v>23</v>
      </c>
      <c r="D658" t="s">
        <v>142</v>
      </c>
      <c r="E658" s="1">
        <v>45220</v>
      </c>
      <c r="F658" t="s">
        <v>25</v>
      </c>
      <c r="G658" t="s">
        <v>81</v>
      </c>
      <c r="H658">
        <v>9</v>
      </c>
      <c r="I658">
        <v>39279</v>
      </c>
      <c r="J658">
        <v>353511</v>
      </c>
      <c r="K658">
        <v>149151</v>
      </c>
      <c r="L658">
        <v>57844</v>
      </c>
      <c r="M658">
        <v>146516</v>
      </c>
      <c r="N658">
        <v>22</v>
      </c>
      <c r="O658" t="s">
        <v>27</v>
      </c>
      <c r="P658" t="s">
        <v>67</v>
      </c>
      <c r="Q658" s="1">
        <v>45214</v>
      </c>
      <c r="R658" s="1">
        <v>45200</v>
      </c>
      <c r="S658" t="s">
        <v>52</v>
      </c>
      <c r="T658" s="1">
        <v>45200</v>
      </c>
      <c r="U658">
        <v>2023</v>
      </c>
    </row>
    <row r="659" spans="1:21" x14ac:dyDescent="0.3">
      <c r="A659" t="s">
        <v>769</v>
      </c>
      <c r="B659" t="s">
        <v>22</v>
      </c>
      <c r="C659" t="s">
        <v>23</v>
      </c>
      <c r="D659" t="s">
        <v>163</v>
      </c>
      <c r="E659" s="1">
        <v>45013</v>
      </c>
      <c r="F659" t="s">
        <v>25</v>
      </c>
      <c r="G659" t="s">
        <v>58</v>
      </c>
      <c r="H659">
        <v>8</v>
      </c>
      <c r="I659">
        <v>47413</v>
      </c>
      <c r="J659">
        <v>379304</v>
      </c>
      <c r="K659">
        <v>205355</v>
      </c>
      <c r="L659">
        <v>39091</v>
      </c>
      <c r="M659">
        <v>134858</v>
      </c>
      <c r="N659">
        <v>27</v>
      </c>
      <c r="O659" t="s">
        <v>50</v>
      </c>
      <c r="P659" t="s">
        <v>62</v>
      </c>
      <c r="Q659" s="1">
        <v>45011</v>
      </c>
      <c r="R659" s="1">
        <v>44927</v>
      </c>
      <c r="S659" t="s">
        <v>44</v>
      </c>
      <c r="T659" s="1">
        <v>44986</v>
      </c>
      <c r="U659">
        <v>2023</v>
      </c>
    </row>
    <row r="660" spans="1:21" x14ac:dyDescent="0.3">
      <c r="A660" t="s">
        <v>770</v>
      </c>
      <c r="B660" t="s">
        <v>22</v>
      </c>
      <c r="C660" t="s">
        <v>23</v>
      </c>
      <c r="D660" t="s">
        <v>80</v>
      </c>
      <c r="E660" s="1">
        <v>45177</v>
      </c>
      <c r="F660" t="s">
        <v>25</v>
      </c>
      <c r="G660" t="s">
        <v>33</v>
      </c>
      <c r="H660">
        <v>5</v>
      </c>
      <c r="I660">
        <v>32533</v>
      </c>
      <c r="J660">
        <v>162665</v>
      </c>
      <c r="K660">
        <v>96773</v>
      </c>
      <c r="L660">
        <v>27857</v>
      </c>
      <c r="M660">
        <v>38035</v>
      </c>
      <c r="N660">
        <v>40</v>
      </c>
      <c r="O660" t="s">
        <v>34</v>
      </c>
      <c r="P660" t="s">
        <v>99</v>
      </c>
      <c r="Q660" s="1">
        <v>45172</v>
      </c>
      <c r="R660" s="1">
        <v>45108</v>
      </c>
      <c r="S660" t="s">
        <v>104</v>
      </c>
      <c r="T660" s="1">
        <v>45170</v>
      </c>
      <c r="U660">
        <v>2023</v>
      </c>
    </row>
    <row r="661" spans="1:21" x14ac:dyDescent="0.3">
      <c r="A661" t="s">
        <v>771</v>
      </c>
      <c r="B661" t="s">
        <v>72</v>
      </c>
      <c r="C661" t="s">
        <v>47</v>
      </c>
      <c r="D661" t="s">
        <v>60</v>
      </c>
      <c r="E661" s="1">
        <v>45199</v>
      </c>
      <c r="F661" t="s">
        <v>57</v>
      </c>
      <c r="G661" t="s">
        <v>26</v>
      </c>
      <c r="H661">
        <v>3</v>
      </c>
      <c r="I661">
        <v>21078</v>
      </c>
      <c r="J661">
        <v>63234</v>
      </c>
      <c r="K661">
        <v>24111</v>
      </c>
      <c r="L661">
        <v>10227</v>
      </c>
      <c r="M661">
        <v>28896</v>
      </c>
      <c r="N661">
        <v>47</v>
      </c>
      <c r="O661" t="s">
        <v>42</v>
      </c>
      <c r="P661" t="s">
        <v>67</v>
      </c>
      <c r="Q661" s="1">
        <v>45193</v>
      </c>
      <c r="R661" s="1">
        <v>45108</v>
      </c>
      <c r="S661" t="s">
        <v>104</v>
      </c>
      <c r="T661" s="1">
        <v>45170</v>
      </c>
      <c r="U661">
        <v>2023</v>
      </c>
    </row>
    <row r="662" spans="1:21" x14ac:dyDescent="0.3">
      <c r="A662" t="s">
        <v>772</v>
      </c>
      <c r="B662" t="s">
        <v>22</v>
      </c>
      <c r="C662" t="s">
        <v>23</v>
      </c>
      <c r="D662" t="s">
        <v>142</v>
      </c>
      <c r="E662" s="1">
        <v>44944</v>
      </c>
      <c r="F662" t="s">
        <v>40</v>
      </c>
      <c r="G662" t="s">
        <v>64</v>
      </c>
      <c r="H662">
        <v>10</v>
      </c>
      <c r="I662">
        <v>36468</v>
      </c>
      <c r="J662">
        <v>364680</v>
      </c>
      <c r="K662">
        <v>137286</v>
      </c>
      <c r="L662">
        <v>57640</v>
      </c>
      <c r="M662">
        <v>169754</v>
      </c>
      <c r="N662">
        <v>21</v>
      </c>
      <c r="O662" t="s">
        <v>27</v>
      </c>
      <c r="P662" t="s">
        <v>43</v>
      </c>
      <c r="Q662" s="1">
        <v>44941</v>
      </c>
      <c r="R662" s="1">
        <v>44927</v>
      </c>
      <c r="S662" t="s">
        <v>95</v>
      </c>
      <c r="T662" s="1">
        <v>44927</v>
      </c>
      <c r="U662">
        <v>2023</v>
      </c>
    </row>
    <row r="663" spans="1:21" x14ac:dyDescent="0.3">
      <c r="A663" t="s">
        <v>773</v>
      </c>
      <c r="B663" t="s">
        <v>46</v>
      </c>
      <c r="C663" t="s">
        <v>47</v>
      </c>
      <c r="D663" t="s">
        <v>108</v>
      </c>
      <c r="E663" s="1">
        <v>45042</v>
      </c>
      <c r="F663" t="s">
        <v>49</v>
      </c>
      <c r="G663" t="s">
        <v>64</v>
      </c>
      <c r="H663">
        <v>7</v>
      </c>
      <c r="I663">
        <v>20101</v>
      </c>
      <c r="J663">
        <v>140707</v>
      </c>
      <c r="K663">
        <v>74701</v>
      </c>
      <c r="L663">
        <v>17311</v>
      </c>
      <c r="M663">
        <v>48695</v>
      </c>
      <c r="N663">
        <v>4</v>
      </c>
      <c r="O663" t="s">
        <v>61</v>
      </c>
      <c r="P663" t="s">
        <v>43</v>
      </c>
      <c r="Q663" s="1">
        <v>45039</v>
      </c>
      <c r="R663" s="1">
        <v>45017</v>
      </c>
      <c r="S663" t="s">
        <v>74</v>
      </c>
      <c r="T663" s="1">
        <v>45017</v>
      </c>
      <c r="U663">
        <v>2023</v>
      </c>
    </row>
    <row r="664" spans="1:21" x14ac:dyDescent="0.3">
      <c r="A664" t="s">
        <v>774</v>
      </c>
      <c r="B664" t="s">
        <v>22</v>
      </c>
      <c r="C664" t="s">
        <v>23</v>
      </c>
      <c r="D664" t="s">
        <v>83</v>
      </c>
      <c r="E664" s="1">
        <v>45087</v>
      </c>
      <c r="F664" t="s">
        <v>57</v>
      </c>
      <c r="G664" t="s">
        <v>41</v>
      </c>
      <c r="H664">
        <v>8</v>
      </c>
      <c r="I664">
        <v>28987</v>
      </c>
      <c r="J664">
        <v>231896</v>
      </c>
      <c r="K664">
        <v>122315</v>
      </c>
      <c r="L664">
        <v>46049</v>
      </c>
      <c r="M664">
        <v>63532</v>
      </c>
      <c r="N664">
        <v>17</v>
      </c>
      <c r="O664" t="s">
        <v>61</v>
      </c>
      <c r="P664" t="s">
        <v>67</v>
      </c>
      <c r="Q664" s="1">
        <v>45081</v>
      </c>
      <c r="R664" s="1">
        <v>45017</v>
      </c>
      <c r="S664" t="s">
        <v>35</v>
      </c>
      <c r="T664" s="1">
        <v>45078</v>
      </c>
      <c r="U664">
        <v>2023</v>
      </c>
    </row>
    <row r="665" spans="1:21" x14ac:dyDescent="0.3">
      <c r="A665" t="s">
        <v>775</v>
      </c>
      <c r="B665" t="s">
        <v>46</v>
      </c>
      <c r="C665" t="s">
        <v>47</v>
      </c>
      <c r="D665" t="s">
        <v>205</v>
      </c>
      <c r="E665" s="1">
        <v>44989</v>
      </c>
      <c r="F665" t="s">
        <v>40</v>
      </c>
      <c r="G665" t="s">
        <v>64</v>
      </c>
      <c r="H665">
        <v>1</v>
      </c>
      <c r="I665">
        <v>18863</v>
      </c>
      <c r="J665">
        <v>18863</v>
      </c>
      <c r="K665">
        <v>9140</v>
      </c>
      <c r="L665">
        <v>3338</v>
      </c>
      <c r="M665">
        <v>6385</v>
      </c>
      <c r="N665">
        <v>34</v>
      </c>
      <c r="O665" t="s">
        <v>27</v>
      </c>
      <c r="P665" t="s">
        <v>67</v>
      </c>
      <c r="Q665" s="1">
        <v>44983</v>
      </c>
      <c r="R665" s="1">
        <v>44927</v>
      </c>
      <c r="S665" t="s">
        <v>44</v>
      </c>
      <c r="T665" s="1">
        <v>44986</v>
      </c>
      <c r="U665">
        <v>2023</v>
      </c>
    </row>
    <row r="666" spans="1:21" x14ac:dyDescent="0.3">
      <c r="A666" t="s">
        <v>776</v>
      </c>
      <c r="B666" t="s">
        <v>37</v>
      </c>
      <c r="C666" t="s">
        <v>38</v>
      </c>
      <c r="D666" t="s">
        <v>205</v>
      </c>
      <c r="E666" s="1">
        <v>45185</v>
      </c>
      <c r="F666" t="s">
        <v>49</v>
      </c>
      <c r="G666" t="s">
        <v>41</v>
      </c>
      <c r="H666">
        <v>5</v>
      </c>
      <c r="I666">
        <v>53861</v>
      </c>
      <c r="J666">
        <v>269305</v>
      </c>
      <c r="K666">
        <v>143501</v>
      </c>
      <c r="L666">
        <v>37867</v>
      </c>
      <c r="M666">
        <v>87937</v>
      </c>
      <c r="N666">
        <v>41</v>
      </c>
      <c r="O666" t="s">
        <v>61</v>
      </c>
      <c r="P666" t="s">
        <v>67</v>
      </c>
      <c r="Q666" s="1">
        <v>45179</v>
      </c>
      <c r="R666" s="1">
        <v>45108</v>
      </c>
      <c r="S666" t="s">
        <v>104</v>
      </c>
      <c r="T666" s="1">
        <v>45170</v>
      </c>
      <c r="U666">
        <v>2023</v>
      </c>
    </row>
    <row r="667" spans="1:21" x14ac:dyDescent="0.3">
      <c r="A667" t="s">
        <v>777</v>
      </c>
      <c r="B667" t="s">
        <v>72</v>
      </c>
      <c r="C667" t="s">
        <v>47</v>
      </c>
      <c r="D667" t="s">
        <v>256</v>
      </c>
      <c r="E667" s="1">
        <v>45199</v>
      </c>
      <c r="F667" t="s">
        <v>40</v>
      </c>
      <c r="G667" t="s">
        <v>64</v>
      </c>
      <c r="H667">
        <v>10</v>
      </c>
      <c r="I667">
        <v>18559</v>
      </c>
      <c r="J667">
        <v>185590</v>
      </c>
      <c r="K667">
        <v>106072</v>
      </c>
      <c r="L667">
        <v>19943</v>
      </c>
      <c r="M667">
        <v>59575</v>
      </c>
      <c r="N667">
        <v>38</v>
      </c>
      <c r="O667" t="s">
        <v>27</v>
      </c>
      <c r="P667" t="s">
        <v>67</v>
      </c>
      <c r="Q667" s="1">
        <v>45193</v>
      </c>
      <c r="R667" s="1">
        <v>45108</v>
      </c>
      <c r="S667" t="s">
        <v>104</v>
      </c>
      <c r="T667" s="1">
        <v>45170</v>
      </c>
      <c r="U667">
        <v>2023</v>
      </c>
    </row>
    <row r="668" spans="1:21" x14ac:dyDescent="0.3">
      <c r="A668" t="s">
        <v>778</v>
      </c>
      <c r="B668" t="s">
        <v>37</v>
      </c>
      <c r="C668" t="s">
        <v>38</v>
      </c>
      <c r="D668" t="s">
        <v>174</v>
      </c>
      <c r="E668" s="1">
        <v>44946</v>
      </c>
      <c r="F668" t="s">
        <v>40</v>
      </c>
      <c r="G668" t="s">
        <v>98</v>
      </c>
      <c r="H668">
        <v>3</v>
      </c>
      <c r="I668">
        <v>64760</v>
      </c>
      <c r="J668">
        <v>194280</v>
      </c>
      <c r="K668">
        <v>66383</v>
      </c>
      <c r="L668">
        <v>24817</v>
      </c>
      <c r="M668">
        <v>103080</v>
      </c>
      <c r="N668">
        <v>20</v>
      </c>
      <c r="O668" t="s">
        <v>61</v>
      </c>
      <c r="P668" t="s">
        <v>99</v>
      </c>
      <c r="Q668" s="1">
        <v>44941</v>
      </c>
      <c r="R668" s="1">
        <v>44927</v>
      </c>
      <c r="S668" t="s">
        <v>95</v>
      </c>
      <c r="T668" s="1">
        <v>44927</v>
      </c>
      <c r="U668">
        <v>2023</v>
      </c>
    </row>
    <row r="669" spans="1:21" x14ac:dyDescent="0.3">
      <c r="A669" t="s">
        <v>779</v>
      </c>
      <c r="B669" t="s">
        <v>46</v>
      </c>
      <c r="C669" t="s">
        <v>47</v>
      </c>
      <c r="D669" t="s">
        <v>54</v>
      </c>
      <c r="E669" s="1">
        <v>44933</v>
      </c>
      <c r="F669" t="s">
        <v>40</v>
      </c>
      <c r="G669" t="s">
        <v>58</v>
      </c>
      <c r="H669">
        <v>1</v>
      </c>
      <c r="I669">
        <v>35047</v>
      </c>
      <c r="J669">
        <v>35047</v>
      </c>
      <c r="K669">
        <v>12657</v>
      </c>
      <c r="L669">
        <v>4334</v>
      </c>
      <c r="M669">
        <v>18056</v>
      </c>
      <c r="N669">
        <v>45</v>
      </c>
      <c r="O669" t="s">
        <v>34</v>
      </c>
      <c r="P669" t="s">
        <v>67</v>
      </c>
      <c r="Q669" s="1">
        <v>44927</v>
      </c>
      <c r="R669" s="1">
        <v>44927</v>
      </c>
      <c r="S669" t="s">
        <v>95</v>
      </c>
      <c r="T669" s="1">
        <v>44927</v>
      </c>
      <c r="U669">
        <v>2023</v>
      </c>
    </row>
    <row r="670" spans="1:21" x14ac:dyDescent="0.3">
      <c r="A670" t="s">
        <v>780</v>
      </c>
      <c r="B670" t="s">
        <v>46</v>
      </c>
      <c r="C670" t="s">
        <v>47</v>
      </c>
      <c r="D670" t="s">
        <v>168</v>
      </c>
      <c r="E670" s="1">
        <v>44930</v>
      </c>
      <c r="F670" t="s">
        <v>25</v>
      </c>
      <c r="G670" t="s">
        <v>26</v>
      </c>
      <c r="H670">
        <v>9</v>
      </c>
      <c r="I670">
        <v>49346</v>
      </c>
      <c r="J670">
        <v>444114</v>
      </c>
      <c r="K670">
        <v>262162</v>
      </c>
      <c r="L670">
        <v>49349</v>
      </c>
      <c r="M670">
        <v>132603</v>
      </c>
      <c r="N670">
        <v>32</v>
      </c>
      <c r="O670" t="s">
        <v>27</v>
      </c>
      <c r="P670" t="s">
        <v>43</v>
      </c>
      <c r="Q670" s="1">
        <v>44927</v>
      </c>
      <c r="R670" s="1">
        <v>44927</v>
      </c>
      <c r="S670" t="s">
        <v>95</v>
      </c>
      <c r="T670" s="1">
        <v>44927</v>
      </c>
      <c r="U670">
        <v>2023</v>
      </c>
    </row>
    <row r="671" spans="1:21" x14ac:dyDescent="0.3">
      <c r="A671" t="s">
        <v>781</v>
      </c>
      <c r="B671" t="s">
        <v>46</v>
      </c>
      <c r="C671" t="s">
        <v>47</v>
      </c>
      <c r="D671" t="s">
        <v>87</v>
      </c>
      <c r="E671" s="1">
        <v>45174</v>
      </c>
      <c r="F671" t="s">
        <v>57</v>
      </c>
      <c r="G671" t="s">
        <v>98</v>
      </c>
      <c r="H671">
        <v>4</v>
      </c>
      <c r="I671">
        <v>29913</v>
      </c>
      <c r="J671">
        <v>119652</v>
      </c>
      <c r="K671">
        <v>47960</v>
      </c>
      <c r="L671">
        <v>14177</v>
      </c>
      <c r="M671">
        <v>57515</v>
      </c>
      <c r="N671">
        <v>25</v>
      </c>
      <c r="O671" t="s">
        <v>27</v>
      </c>
      <c r="P671" t="s">
        <v>62</v>
      </c>
      <c r="Q671" s="1">
        <v>45172</v>
      </c>
      <c r="R671" s="1">
        <v>45108</v>
      </c>
      <c r="S671" t="s">
        <v>104</v>
      </c>
      <c r="T671" s="1">
        <v>45170</v>
      </c>
      <c r="U671">
        <v>2023</v>
      </c>
    </row>
    <row r="672" spans="1:21" x14ac:dyDescent="0.3">
      <c r="A672" t="s">
        <v>782</v>
      </c>
      <c r="B672" t="s">
        <v>72</v>
      </c>
      <c r="C672" t="s">
        <v>47</v>
      </c>
      <c r="D672" t="s">
        <v>106</v>
      </c>
      <c r="E672" s="1">
        <v>45072</v>
      </c>
      <c r="F672" t="s">
        <v>57</v>
      </c>
      <c r="G672" t="s">
        <v>81</v>
      </c>
      <c r="H672">
        <v>9</v>
      </c>
      <c r="I672">
        <v>28031</v>
      </c>
      <c r="J672">
        <v>252279</v>
      </c>
      <c r="K672">
        <v>134769</v>
      </c>
      <c r="L672">
        <v>39256</v>
      </c>
      <c r="M672">
        <v>78254</v>
      </c>
      <c r="N672">
        <v>29</v>
      </c>
      <c r="O672" t="s">
        <v>27</v>
      </c>
      <c r="P672" t="s">
        <v>99</v>
      </c>
      <c r="Q672" s="1">
        <v>45067</v>
      </c>
      <c r="R672" s="1">
        <v>45017</v>
      </c>
      <c r="S672" t="s">
        <v>68</v>
      </c>
      <c r="T672" s="1">
        <v>45047</v>
      </c>
      <c r="U672">
        <v>2023</v>
      </c>
    </row>
    <row r="673" spans="1:21" x14ac:dyDescent="0.3">
      <c r="A673" t="s">
        <v>783</v>
      </c>
      <c r="B673" t="s">
        <v>72</v>
      </c>
      <c r="C673" t="s">
        <v>47</v>
      </c>
      <c r="D673" t="s">
        <v>205</v>
      </c>
      <c r="E673" s="1">
        <v>45086</v>
      </c>
      <c r="F673" t="s">
        <v>57</v>
      </c>
      <c r="G673" t="s">
        <v>41</v>
      </c>
      <c r="H673">
        <v>6</v>
      </c>
      <c r="I673">
        <v>26594</v>
      </c>
      <c r="J673">
        <v>159564</v>
      </c>
      <c r="K673">
        <v>54782</v>
      </c>
      <c r="L673">
        <v>25206</v>
      </c>
      <c r="M673">
        <v>79576</v>
      </c>
      <c r="N673">
        <v>47</v>
      </c>
      <c r="O673" t="s">
        <v>34</v>
      </c>
      <c r="P673" t="s">
        <v>99</v>
      </c>
      <c r="Q673" s="1">
        <v>45081</v>
      </c>
      <c r="R673" s="1">
        <v>45017</v>
      </c>
      <c r="S673" t="s">
        <v>35</v>
      </c>
      <c r="T673" s="1">
        <v>45078</v>
      </c>
      <c r="U673">
        <v>2023</v>
      </c>
    </row>
    <row r="674" spans="1:21" x14ac:dyDescent="0.3">
      <c r="A674" t="s">
        <v>784</v>
      </c>
      <c r="B674" t="s">
        <v>31</v>
      </c>
      <c r="C674" t="s">
        <v>23</v>
      </c>
      <c r="D674" t="s">
        <v>121</v>
      </c>
      <c r="E674" s="1">
        <v>44943</v>
      </c>
      <c r="F674" t="s">
        <v>57</v>
      </c>
      <c r="G674" t="s">
        <v>81</v>
      </c>
      <c r="H674">
        <v>9</v>
      </c>
      <c r="I674">
        <v>66867</v>
      </c>
      <c r="J674">
        <v>601803</v>
      </c>
      <c r="K674">
        <v>360304</v>
      </c>
      <c r="L674">
        <v>76057</v>
      </c>
      <c r="M674">
        <v>165442</v>
      </c>
      <c r="N674">
        <v>0</v>
      </c>
      <c r="O674" t="s">
        <v>27</v>
      </c>
      <c r="P674" t="s">
        <v>62</v>
      </c>
      <c r="Q674" s="1">
        <v>44941</v>
      </c>
      <c r="R674" s="1">
        <v>44927</v>
      </c>
      <c r="S674" t="s">
        <v>95</v>
      </c>
      <c r="T674" s="1">
        <v>44927</v>
      </c>
      <c r="U674">
        <v>2023</v>
      </c>
    </row>
    <row r="675" spans="1:21" x14ac:dyDescent="0.3">
      <c r="A675" t="s">
        <v>785</v>
      </c>
      <c r="B675" t="s">
        <v>37</v>
      </c>
      <c r="C675" t="s">
        <v>38</v>
      </c>
      <c r="D675" t="s">
        <v>73</v>
      </c>
      <c r="E675" s="1">
        <v>45052</v>
      </c>
      <c r="F675" t="s">
        <v>25</v>
      </c>
      <c r="G675" t="s">
        <v>41</v>
      </c>
      <c r="H675">
        <v>5</v>
      </c>
      <c r="I675">
        <v>53367</v>
      </c>
      <c r="J675">
        <v>266835</v>
      </c>
      <c r="K675">
        <v>113423</v>
      </c>
      <c r="L675">
        <v>37177</v>
      </c>
      <c r="M675">
        <v>116235</v>
      </c>
      <c r="N675">
        <v>5</v>
      </c>
      <c r="O675" t="s">
        <v>50</v>
      </c>
      <c r="P675" t="s">
        <v>67</v>
      </c>
      <c r="Q675" s="1">
        <v>45046</v>
      </c>
      <c r="R675" s="1">
        <v>45017</v>
      </c>
      <c r="S675" t="s">
        <v>68</v>
      </c>
      <c r="T675" s="1">
        <v>45047</v>
      </c>
      <c r="U675">
        <v>2023</v>
      </c>
    </row>
    <row r="676" spans="1:21" x14ac:dyDescent="0.3">
      <c r="A676" t="s">
        <v>786</v>
      </c>
      <c r="B676" t="s">
        <v>31</v>
      </c>
      <c r="C676" t="s">
        <v>23</v>
      </c>
      <c r="D676" t="s">
        <v>301</v>
      </c>
      <c r="E676" s="1">
        <v>45041</v>
      </c>
      <c r="F676" t="s">
        <v>40</v>
      </c>
      <c r="G676" t="s">
        <v>41</v>
      </c>
      <c r="H676">
        <v>2</v>
      </c>
      <c r="I676">
        <v>15426</v>
      </c>
      <c r="J676">
        <v>30852</v>
      </c>
      <c r="K676">
        <v>16994</v>
      </c>
      <c r="L676">
        <v>3557</v>
      </c>
      <c r="M676">
        <v>10301</v>
      </c>
      <c r="N676">
        <v>47</v>
      </c>
      <c r="O676" t="s">
        <v>34</v>
      </c>
      <c r="P676" t="s">
        <v>62</v>
      </c>
      <c r="Q676" s="1">
        <v>45039</v>
      </c>
      <c r="R676" s="1">
        <v>45017</v>
      </c>
      <c r="S676" t="s">
        <v>74</v>
      </c>
      <c r="T676" s="1">
        <v>45017</v>
      </c>
      <c r="U676">
        <v>2023</v>
      </c>
    </row>
    <row r="677" spans="1:21" x14ac:dyDescent="0.3">
      <c r="A677" t="s">
        <v>787</v>
      </c>
      <c r="B677" t="s">
        <v>46</v>
      </c>
      <c r="C677" t="s">
        <v>47</v>
      </c>
      <c r="D677" t="s">
        <v>60</v>
      </c>
      <c r="E677" s="1">
        <v>45096</v>
      </c>
      <c r="F677" t="s">
        <v>49</v>
      </c>
      <c r="G677" t="s">
        <v>26</v>
      </c>
      <c r="H677">
        <v>4</v>
      </c>
      <c r="I677">
        <v>49530</v>
      </c>
      <c r="J677">
        <v>198120</v>
      </c>
      <c r="K677">
        <v>75493</v>
      </c>
      <c r="L677">
        <v>39248</v>
      </c>
      <c r="M677">
        <v>83379</v>
      </c>
      <c r="N677">
        <v>49</v>
      </c>
      <c r="O677" t="s">
        <v>50</v>
      </c>
      <c r="P677" t="s">
        <v>51</v>
      </c>
      <c r="Q677" s="1">
        <v>45095</v>
      </c>
      <c r="R677" s="1">
        <v>45017</v>
      </c>
      <c r="S677" t="s">
        <v>35</v>
      </c>
      <c r="T677" s="1">
        <v>45078</v>
      </c>
      <c r="U677">
        <v>2023</v>
      </c>
    </row>
    <row r="678" spans="1:21" x14ac:dyDescent="0.3">
      <c r="A678" t="s">
        <v>788</v>
      </c>
      <c r="B678" t="s">
        <v>37</v>
      </c>
      <c r="C678" t="s">
        <v>38</v>
      </c>
      <c r="D678" t="s">
        <v>148</v>
      </c>
      <c r="E678" s="1">
        <v>45019</v>
      </c>
      <c r="F678" t="s">
        <v>57</v>
      </c>
      <c r="G678" t="s">
        <v>41</v>
      </c>
      <c r="H678">
        <v>5</v>
      </c>
      <c r="I678">
        <v>54115</v>
      </c>
      <c r="J678">
        <v>270575</v>
      </c>
      <c r="K678">
        <v>138947</v>
      </c>
      <c r="L678">
        <v>29981</v>
      </c>
      <c r="M678">
        <v>101647</v>
      </c>
      <c r="N678">
        <v>35</v>
      </c>
      <c r="O678" t="s">
        <v>34</v>
      </c>
      <c r="P678" t="s">
        <v>51</v>
      </c>
      <c r="Q678" s="1">
        <v>45018</v>
      </c>
      <c r="R678" s="1">
        <v>45017</v>
      </c>
      <c r="S678" t="s">
        <v>74</v>
      </c>
      <c r="T678" s="1">
        <v>45017</v>
      </c>
      <c r="U678">
        <v>2023</v>
      </c>
    </row>
    <row r="679" spans="1:21" x14ac:dyDescent="0.3">
      <c r="A679" t="s">
        <v>789</v>
      </c>
      <c r="B679" t="s">
        <v>22</v>
      </c>
      <c r="C679" t="s">
        <v>23</v>
      </c>
      <c r="D679" t="s">
        <v>163</v>
      </c>
      <c r="E679" s="1">
        <v>45177</v>
      </c>
      <c r="F679" t="s">
        <v>25</v>
      </c>
      <c r="G679" t="s">
        <v>26</v>
      </c>
      <c r="H679">
        <v>7</v>
      </c>
      <c r="I679">
        <v>46823</v>
      </c>
      <c r="J679">
        <v>327761</v>
      </c>
      <c r="K679">
        <v>134150</v>
      </c>
      <c r="L679">
        <v>50829</v>
      </c>
      <c r="M679">
        <v>142782</v>
      </c>
      <c r="N679">
        <v>21</v>
      </c>
      <c r="O679" t="s">
        <v>27</v>
      </c>
      <c r="P679" t="s">
        <v>99</v>
      </c>
      <c r="Q679" s="1">
        <v>45172</v>
      </c>
      <c r="R679" s="1">
        <v>45108</v>
      </c>
      <c r="S679" t="s">
        <v>104</v>
      </c>
      <c r="T679" s="1">
        <v>45170</v>
      </c>
      <c r="U679">
        <v>2023</v>
      </c>
    </row>
    <row r="680" spans="1:21" x14ac:dyDescent="0.3">
      <c r="A680" t="s">
        <v>790</v>
      </c>
      <c r="B680" t="s">
        <v>37</v>
      </c>
      <c r="C680" t="s">
        <v>38</v>
      </c>
      <c r="D680" t="s">
        <v>142</v>
      </c>
      <c r="E680" s="1">
        <v>44964</v>
      </c>
      <c r="F680" t="s">
        <v>40</v>
      </c>
      <c r="G680" t="s">
        <v>98</v>
      </c>
      <c r="H680">
        <v>6</v>
      </c>
      <c r="I680">
        <v>5659</v>
      </c>
      <c r="J680">
        <v>33954</v>
      </c>
      <c r="K680">
        <v>10814</v>
      </c>
      <c r="L680">
        <v>5028</v>
      </c>
      <c r="M680">
        <v>18112</v>
      </c>
      <c r="N680">
        <v>23</v>
      </c>
      <c r="O680" t="s">
        <v>34</v>
      </c>
      <c r="P680" t="s">
        <v>62</v>
      </c>
      <c r="Q680" s="1">
        <v>44962</v>
      </c>
      <c r="R680" s="1">
        <v>44927</v>
      </c>
      <c r="S680" t="s">
        <v>85</v>
      </c>
      <c r="T680" s="1">
        <v>44958</v>
      </c>
      <c r="U680">
        <v>2023</v>
      </c>
    </row>
    <row r="681" spans="1:21" x14ac:dyDescent="0.3">
      <c r="A681" t="s">
        <v>791</v>
      </c>
      <c r="B681" t="s">
        <v>72</v>
      </c>
      <c r="C681" t="s">
        <v>47</v>
      </c>
      <c r="D681" t="s">
        <v>135</v>
      </c>
      <c r="E681" s="1">
        <v>45204</v>
      </c>
      <c r="F681" t="s">
        <v>49</v>
      </c>
      <c r="G681" t="s">
        <v>41</v>
      </c>
      <c r="H681">
        <v>3</v>
      </c>
      <c r="I681">
        <v>57977</v>
      </c>
      <c r="J681">
        <v>173931</v>
      </c>
      <c r="K681">
        <v>85535</v>
      </c>
      <c r="L681">
        <v>31843</v>
      </c>
      <c r="M681">
        <v>56553</v>
      </c>
      <c r="N681">
        <v>50</v>
      </c>
      <c r="O681" t="s">
        <v>42</v>
      </c>
      <c r="P681" t="s">
        <v>84</v>
      </c>
      <c r="Q681" s="1">
        <v>45200</v>
      </c>
      <c r="R681" s="1">
        <v>45200</v>
      </c>
      <c r="S681" t="s">
        <v>52</v>
      </c>
      <c r="T681" s="1">
        <v>45200</v>
      </c>
      <c r="U681">
        <v>2023</v>
      </c>
    </row>
    <row r="682" spans="1:21" x14ac:dyDescent="0.3">
      <c r="A682" t="s">
        <v>792</v>
      </c>
      <c r="B682" t="s">
        <v>31</v>
      </c>
      <c r="C682" t="s">
        <v>23</v>
      </c>
      <c r="D682" t="s">
        <v>168</v>
      </c>
      <c r="E682" s="1">
        <v>45208</v>
      </c>
      <c r="F682" t="s">
        <v>57</v>
      </c>
      <c r="G682" t="s">
        <v>81</v>
      </c>
      <c r="H682">
        <v>9</v>
      </c>
      <c r="I682">
        <v>22876</v>
      </c>
      <c r="J682">
        <v>205884</v>
      </c>
      <c r="K682">
        <v>115057</v>
      </c>
      <c r="L682">
        <v>20598</v>
      </c>
      <c r="M682">
        <v>70229</v>
      </c>
      <c r="N682">
        <v>34</v>
      </c>
      <c r="O682" t="s">
        <v>27</v>
      </c>
      <c r="P682" t="s">
        <v>51</v>
      </c>
      <c r="Q682" s="1">
        <v>45207</v>
      </c>
      <c r="R682" s="1">
        <v>45200</v>
      </c>
      <c r="S682" t="s">
        <v>52</v>
      </c>
      <c r="T682" s="1">
        <v>45200</v>
      </c>
      <c r="U682">
        <v>2023</v>
      </c>
    </row>
    <row r="683" spans="1:21" x14ac:dyDescent="0.3">
      <c r="A683" t="s">
        <v>793</v>
      </c>
      <c r="B683" t="s">
        <v>72</v>
      </c>
      <c r="C683" t="s">
        <v>47</v>
      </c>
      <c r="D683" t="s">
        <v>97</v>
      </c>
      <c r="E683" s="1">
        <v>45152</v>
      </c>
      <c r="F683" t="s">
        <v>40</v>
      </c>
      <c r="G683" t="s">
        <v>41</v>
      </c>
      <c r="H683">
        <v>3</v>
      </c>
      <c r="I683">
        <v>23518</v>
      </c>
      <c r="J683">
        <v>70554</v>
      </c>
      <c r="K683">
        <v>30901</v>
      </c>
      <c r="L683">
        <v>9687</v>
      </c>
      <c r="M683">
        <v>29966</v>
      </c>
      <c r="N683">
        <v>28</v>
      </c>
      <c r="O683" t="s">
        <v>42</v>
      </c>
      <c r="P683" t="s">
        <v>51</v>
      </c>
      <c r="Q683" s="1">
        <v>45151</v>
      </c>
      <c r="R683" s="1">
        <v>45108</v>
      </c>
      <c r="S683" t="s">
        <v>92</v>
      </c>
      <c r="T683" s="1">
        <v>45139</v>
      </c>
      <c r="U683">
        <v>2023</v>
      </c>
    </row>
    <row r="684" spans="1:21" x14ac:dyDescent="0.3">
      <c r="A684" t="s">
        <v>794</v>
      </c>
      <c r="B684" t="s">
        <v>72</v>
      </c>
      <c r="C684" t="s">
        <v>47</v>
      </c>
      <c r="D684" t="s">
        <v>54</v>
      </c>
      <c r="E684" s="1">
        <v>45146</v>
      </c>
      <c r="F684" t="s">
        <v>49</v>
      </c>
      <c r="G684" t="s">
        <v>26</v>
      </c>
      <c r="H684">
        <v>1</v>
      </c>
      <c r="I684">
        <v>15771</v>
      </c>
      <c r="J684">
        <v>15771</v>
      </c>
      <c r="K684">
        <v>5361</v>
      </c>
      <c r="L684">
        <v>1703</v>
      </c>
      <c r="M684">
        <v>8707</v>
      </c>
      <c r="N684">
        <v>30</v>
      </c>
      <c r="O684" t="s">
        <v>34</v>
      </c>
      <c r="P684" t="s">
        <v>62</v>
      </c>
      <c r="Q684" s="1">
        <v>45144</v>
      </c>
      <c r="R684" s="1">
        <v>45108</v>
      </c>
      <c r="S684" t="s">
        <v>92</v>
      </c>
      <c r="T684" s="1">
        <v>45139</v>
      </c>
      <c r="U684">
        <v>2023</v>
      </c>
    </row>
    <row r="685" spans="1:21" x14ac:dyDescent="0.3">
      <c r="A685" t="s">
        <v>795</v>
      </c>
      <c r="B685" t="s">
        <v>31</v>
      </c>
      <c r="C685" t="s">
        <v>23</v>
      </c>
      <c r="D685" t="s">
        <v>87</v>
      </c>
      <c r="E685" s="1">
        <v>45004</v>
      </c>
      <c r="F685" t="s">
        <v>40</v>
      </c>
      <c r="G685" t="s">
        <v>41</v>
      </c>
      <c r="H685">
        <v>6</v>
      </c>
      <c r="I685">
        <v>62967</v>
      </c>
      <c r="J685">
        <v>377802</v>
      </c>
      <c r="K685">
        <v>140299</v>
      </c>
      <c r="L685">
        <v>64949</v>
      </c>
      <c r="M685">
        <v>172554</v>
      </c>
      <c r="N685">
        <v>11</v>
      </c>
      <c r="O685" t="s">
        <v>50</v>
      </c>
      <c r="P685" t="s">
        <v>28</v>
      </c>
      <c r="Q685" s="1">
        <v>45004</v>
      </c>
      <c r="R685" s="1">
        <v>44927</v>
      </c>
      <c r="S685" t="s">
        <v>44</v>
      </c>
      <c r="T685" s="1">
        <v>44986</v>
      </c>
      <c r="U685">
        <v>2023</v>
      </c>
    </row>
    <row r="686" spans="1:21" x14ac:dyDescent="0.3">
      <c r="A686" t="s">
        <v>796</v>
      </c>
      <c r="B686" t="s">
        <v>37</v>
      </c>
      <c r="C686" t="s">
        <v>38</v>
      </c>
      <c r="D686" t="s">
        <v>76</v>
      </c>
      <c r="E686" s="1">
        <v>45211</v>
      </c>
      <c r="F686" t="s">
        <v>40</v>
      </c>
      <c r="G686" t="s">
        <v>41</v>
      </c>
      <c r="H686">
        <v>5</v>
      </c>
      <c r="I686">
        <v>27397</v>
      </c>
      <c r="J686">
        <v>136985</v>
      </c>
      <c r="K686">
        <v>68155</v>
      </c>
      <c r="L686">
        <v>26821</v>
      </c>
      <c r="M686">
        <v>42009</v>
      </c>
      <c r="N686">
        <v>48</v>
      </c>
      <c r="O686" t="s">
        <v>34</v>
      </c>
      <c r="P686" t="s">
        <v>84</v>
      </c>
      <c r="Q686" s="1">
        <v>45207</v>
      </c>
      <c r="R686" s="1">
        <v>45200</v>
      </c>
      <c r="S686" t="s">
        <v>52</v>
      </c>
      <c r="T686" s="1">
        <v>45200</v>
      </c>
      <c r="U686">
        <v>2023</v>
      </c>
    </row>
    <row r="687" spans="1:21" x14ac:dyDescent="0.3">
      <c r="A687" t="s">
        <v>797</v>
      </c>
      <c r="B687" t="s">
        <v>31</v>
      </c>
      <c r="C687" t="s">
        <v>23</v>
      </c>
      <c r="D687" t="s">
        <v>128</v>
      </c>
      <c r="E687" s="1">
        <v>45235</v>
      </c>
      <c r="F687" t="s">
        <v>49</v>
      </c>
      <c r="G687" t="s">
        <v>26</v>
      </c>
      <c r="H687">
        <v>3</v>
      </c>
      <c r="I687">
        <v>57646</v>
      </c>
      <c r="J687">
        <v>172938</v>
      </c>
      <c r="K687">
        <v>85973</v>
      </c>
      <c r="L687">
        <v>18874</v>
      </c>
      <c r="M687">
        <v>68091</v>
      </c>
      <c r="N687">
        <v>8</v>
      </c>
      <c r="O687" t="s">
        <v>61</v>
      </c>
      <c r="P687" t="s">
        <v>28</v>
      </c>
      <c r="Q687" s="1">
        <v>45235</v>
      </c>
      <c r="R687" s="1">
        <v>45200</v>
      </c>
      <c r="S687" t="s">
        <v>138</v>
      </c>
      <c r="T687" s="1">
        <v>45231</v>
      </c>
      <c r="U687">
        <v>2023</v>
      </c>
    </row>
    <row r="688" spans="1:21" x14ac:dyDescent="0.3">
      <c r="A688" t="s">
        <v>798</v>
      </c>
      <c r="B688" t="s">
        <v>37</v>
      </c>
      <c r="C688" t="s">
        <v>38</v>
      </c>
      <c r="D688" t="s">
        <v>119</v>
      </c>
      <c r="E688" s="1">
        <v>44969</v>
      </c>
      <c r="F688" t="s">
        <v>57</v>
      </c>
      <c r="G688" t="s">
        <v>41</v>
      </c>
      <c r="H688">
        <v>3</v>
      </c>
      <c r="I688">
        <v>27710</v>
      </c>
      <c r="J688">
        <v>83130</v>
      </c>
      <c r="K688">
        <v>45829</v>
      </c>
      <c r="L688">
        <v>12833</v>
      </c>
      <c r="M688">
        <v>24468</v>
      </c>
      <c r="N688">
        <v>46</v>
      </c>
      <c r="O688" t="s">
        <v>34</v>
      </c>
      <c r="P688" t="s">
        <v>28</v>
      </c>
      <c r="Q688" s="1">
        <v>44969</v>
      </c>
      <c r="R688" s="1">
        <v>44927</v>
      </c>
      <c r="S688" t="s">
        <v>85</v>
      </c>
      <c r="T688" s="1">
        <v>44958</v>
      </c>
      <c r="U688">
        <v>2023</v>
      </c>
    </row>
    <row r="689" spans="1:21" x14ac:dyDescent="0.3">
      <c r="A689" t="s">
        <v>799</v>
      </c>
      <c r="B689" t="s">
        <v>46</v>
      </c>
      <c r="C689" t="s">
        <v>47</v>
      </c>
      <c r="D689" t="s">
        <v>196</v>
      </c>
      <c r="E689" s="1">
        <v>45125</v>
      </c>
      <c r="F689" t="s">
        <v>57</v>
      </c>
      <c r="G689" t="s">
        <v>81</v>
      </c>
      <c r="H689">
        <v>2</v>
      </c>
      <c r="I689">
        <v>15146</v>
      </c>
      <c r="J689">
        <v>30292</v>
      </c>
      <c r="K689">
        <v>11204</v>
      </c>
      <c r="L689">
        <v>6009</v>
      </c>
      <c r="M689">
        <v>13079</v>
      </c>
      <c r="N689">
        <v>8</v>
      </c>
      <c r="O689" t="s">
        <v>27</v>
      </c>
      <c r="P689" t="s">
        <v>62</v>
      </c>
      <c r="Q689" s="1">
        <v>45123</v>
      </c>
      <c r="R689" s="1">
        <v>45108</v>
      </c>
      <c r="S689" t="s">
        <v>29</v>
      </c>
      <c r="T689" s="1">
        <v>45108</v>
      </c>
      <c r="U689">
        <v>2023</v>
      </c>
    </row>
    <row r="690" spans="1:21" x14ac:dyDescent="0.3">
      <c r="A690" t="s">
        <v>800</v>
      </c>
      <c r="B690" t="s">
        <v>72</v>
      </c>
      <c r="C690" t="s">
        <v>47</v>
      </c>
      <c r="D690" t="s">
        <v>83</v>
      </c>
      <c r="E690" s="1">
        <v>44972</v>
      </c>
      <c r="F690" t="s">
        <v>25</v>
      </c>
      <c r="G690" t="s">
        <v>33</v>
      </c>
      <c r="H690">
        <v>1</v>
      </c>
      <c r="I690">
        <v>8129</v>
      </c>
      <c r="J690">
        <v>8129</v>
      </c>
      <c r="K690">
        <v>2905</v>
      </c>
      <c r="L690">
        <v>989</v>
      </c>
      <c r="M690">
        <v>4235</v>
      </c>
      <c r="N690">
        <v>12</v>
      </c>
      <c r="O690" t="s">
        <v>50</v>
      </c>
      <c r="P690" t="s">
        <v>43</v>
      </c>
      <c r="Q690" s="1">
        <v>44969</v>
      </c>
      <c r="R690" s="1">
        <v>44927</v>
      </c>
      <c r="S690" t="s">
        <v>85</v>
      </c>
      <c r="T690" s="1">
        <v>44958</v>
      </c>
      <c r="U690">
        <v>2023</v>
      </c>
    </row>
    <row r="691" spans="1:21" x14ac:dyDescent="0.3">
      <c r="A691" t="s">
        <v>801</v>
      </c>
      <c r="B691" t="s">
        <v>72</v>
      </c>
      <c r="C691" t="s">
        <v>47</v>
      </c>
      <c r="D691" t="s">
        <v>174</v>
      </c>
      <c r="E691" s="1">
        <v>45169</v>
      </c>
      <c r="F691" t="s">
        <v>25</v>
      </c>
      <c r="G691" t="s">
        <v>81</v>
      </c>
      <c r="H691">
        <v>3</v>
      </c>
      <c r="I691">
        <v>42110</v>
      </c>
      <c r="J691">
        <v>126330</v>
      </c>
      <c r="K691">
        <v>39701</v>
      </c>
      <c r="L691">
        <v>17096</v>
      </c>
      <c r="M691">
        <v>69533</v>
      </c>
      <c r="N691">
        <v>23</v>
      </c>
      <c r="O691" t="s">
        <v>50</v>
      </c>
      <c r="P691" t="s">
        <v>84</v>
      </c>
      <c r="Q691" s="1">
        <v>45165</v>
      </c>
      <c r="R691" s="1">
        <v>45108</v>
      </c>
      <c r="S691" t="s">
        <v>92</v>
      </c>
      <c r="T691" s="1">
        <v>45139</v>
      </c>
      <c r="U691">
        <v>2023</v>
      </c>
    </row>
    <row r="692" spans="1:21" x14ac:dyDescent="0.3">
      <c r="A692" t="s">
        <v>802</v>
      </c>
      <c r="B692" t="s">
        <v>46</v>
      </c>
      <c r="C692" t="s">
        <v>47</v>
      </c>
      <c r="D692" t="s">
        <v>128</v>
      </c>
      <c r="E692" s="1">
        <v>45043</v>
      </c>
      <c r="F692" t="s">
        <v>49</v>
      </c>
      <c r="G692" t="s">
        <v>41</v>
      </c>
      <c r="H692">
        <v>7</v>
      </c>
      <c r="I692">
        <v>19421</v>
      </c>
      <c r="J692">
        <v>135947</v>
      </c>
      <c r="K692">
        <v>62089</v>
      </c>
      <c r="L692">
        <v>24651</v>
      </c>
      <c r="M692">
        <v>49207</v>
      </c>
      <c r="N692">
        <v>41</v>
      </c>
      <c r="O692" t="s">
        <v>50</v>
      </c>
      <c r="P692" t="s">
        <v>84</v>
      </c>
      <c r="Q692" s="1">
        <v>45039</v>
      </c>
      <c r="R692" s="1">
        <v>45017</v>
      </c>
      <c r="S692" t="s">
        <v>74</v>
      </c>
      <c r="T692" s="1">
        <v>45017</v>
      </c>
      <c r="U692">
        <v>2023</v>
      </c>
    </row>
    <row r="693" spans="1:21" x14ac:dyDescent="0.3">
      <c r="A693" t="s">
        <v>803</v>
      </c>
      <c r="B693" t="s">
        <v>46</v>
      </c>
      <c r="C693" t="s">
        <v>47</v>
      </c>
      <c r="D693" t="s">
        <v>137</v>
      </c>
      <c r="E693" s="1">
        <v>45151</v>
      </c>
      <c r="F693" t="s">
        <v>49</v>
      </c>
      <c r="G693" t="s">
        <v>98</v>
      </c>
      <c r="H693">
        <v>4</v>
      </c>
      <c r="I693">
        <v>29511</v>
      </c>
      <c r="J693">
        <v>118044</v>
      </c>
      <c r="K693">
        <v>45561</v>
      </c>
      <c r="L693">
        <v>18062</v>
      </c>
      <c r="M693">
        <v>54421</v>
      </c>
      <c r="N693">
        <v>3</v>
      </c>
      <c r="O693" t="s">
        <v>61</v>
      </c>
      <c r="P693" t="s">
        <v>28</v>
      </c>
      <c r="Q693" s="1">
        <v>45151</v>
      </c>
      <c r="R693" s="1">
        <v>45108</v>
      </c>
      <c r="S693" t="s">
        <v>92</v>
      </c>
      <c r="T693" s="1">
        <v>45139</v>
      </c>
      <c r="U693">
        <v>2023</v>
      </c>
    </row>
    <row r="694" spans="1:21" x14ac:dyDescent="0.3">
      <c r="A694" t="s">
        <v>804</v>
      </c>
      <c r="B694" t="s">
        <v>31</v>
      </c>
      <c r="C694" t="s">
        <v>23</v>
      </c>
      <c r="D694" t="s">
        <v>78</v>
      </c>
      <c r="E694" s="1">
        <v>45229</v>
      </c>
      <c r="F694" t="s">
        <v>57</v>
      </c>
      <c r="G694" t="s">
        <v>64</v>
      </c>
      <c r="H694">
        <v>5</v>
      </c>
      <c r="I694">
        <v>28498</v>
      </c>
      <c r="J694">
        <v>142490</v>
      </c>
      <c r="K694">
        <v>48707</v>
      </c>
      <c r="L694">
        <v>27580</v>
      </c>
      <c r="M694">
        <v>66203</v>
      </c>
      <c r="N694">
        <v>24</v>
      </c>
      <c r="O694" t="s">
        <v>50</v>
      </c>
      <c r="P694" t="s">
        <v>51</v>
      </c>
      <c r="Q694" s="1">
        <v>45228</v>
      </c>
      <c r="R694" s="1">
        <v>45200</v>
      </c>
      <c r="S694" t="s">
        <v>52</v>
      </c>
      <c r="T694" s="1">
        <v>45200</v>
      </c>
      <c r="U694">
        <v>2023</v>
      </c>
    </row>
    <row r="695" spans="1:21" x14ac:dyDescent="0.3">
      <c r="A695" t="s">
        <v>805</v>
      </c>
      <c r="B695" t="s">
        <v>72</v>
      </c>
      <c r="C695" t="s">
        <v>47</v>
      </c>
      <c r="D695" t="s">
        <v>137</v>
      </c>
      <c r="E695" s="1">
        <v>44968</v>
      </c>
      <c r="F695" t="s">
        <v>57</v>
      </c>
      <c r="G695" t="s">
        <v>41</v>
      </c>
      <c r="H695">
        <v>1</v>
      </c>
      <c r="I695">
        <v>63602</v>
      </c>
      <c r="J695">
        <v>63602</v>
      </c>
      <c r="K695">
        <v>33092</v>
      </c>
      <c r="L695">
        <v>10104</v>
      </c>
      <c r="M695">
        <v>20406</v>
      </c>
      <c r="N695">
        <v>24</v>
      </c>
      <c r="O695" t="s">
        <v>42</v>
      </c>
      <c r="P695" t="s">
        <v>67</v>
      </c>
      <c r="Q695" s="1">
        <v>44962</v>
      </c>
      <c r="R695" s="1">
        <v>44927</v>
      </c>
      <c r="S695" t="s">
        <v>85</v>
      </c>
      <c r="T695" s="1">
        <v>44958</v>
      </c>
      <c r="U695">
        <v>2023</v>
      </c>
    </row>
    <row r="696" spans="1:21" x14ac:dyDescent="0.3">
      <c r="A696" t="s">
        <v>806</v>
      </c>
      <c r="B696" t="s">
        <v>31</v>
      </c>
      <c r="C696" t="s">
        <v>23</v>
      </c>
      <c r="D696" t="s">
        <v>135</v>
      </c>
      <c r="E696" s="1">
        <v>45044</v>
      </c>
      <c r="F696" t="s">
        <v>49</v>
      </c>
      <c r="G696" t="s">
        <v>98</v>
      </c>
      <c r="H696">
        <v>6</v>
      </c>
      <c r="I696">
        <v>16005</v>
      </c>
      <c r="J696">
        <v>96030</v>
      </c>
      <c r="K696">
        <v>33330</v>
      </c>
      <c r="L696">
        <v>17506</v>
      </c>
      <c r="M696">
        <v>45194</v>
      </c>
      <c r="N696">
        <v>6</v>
      </c>
      <c r="O696" t="s">
        <v>27</v>
      </c>
      <c r="P696" t="s">
        <v>99</v>
      </c>
      <c r="Q696" s="1">
        <v>45039</v>
      </c>
      <c r="R696" s="1">
        <v>45017</v>
      </c>
      <c r="S696" t="s">
        <v>74</v>
      </c>
      <c r="T696" s="1">
        <v>45017</v>
      </c>
      <c r="U696">
        <v>2023</v>
      </c>
    </row>
    <row r="697" spans="1:21" x14ac:dyDescent="0.3">
      <c r="A697" t="s">
        <v>807</v>
      </c>
      <c r="B697" t="s">
        <v>31</v>
      </c>
      <c r="C697" t="s">
        <v>23</v>
      </c>
      <c r="D697" t="s">
        <v>168</v>
      </c>
      <c r="E697" s="1">
        <v>45073</v>
      </c>
      <c r="F697" t="s">
        <v>25</v>
      </c>
      <c r="G697" t="s">
        <v>64</v>
      </c>
      <c r="H697">
        <v>7</v>
      </c>
      <c r="I697">
        <v>3509</v>
      </c>
      <c r="J697">
        <v>24563</v>
      </c>
      <c r="K697">
        <v>7876</v>
      </c>
      <c r="L697">
        <v>4866</v>
      </c>
      <c r="M697">
        <v>11821</v>
      </c>
      <c r="N697">
        <v>3</v>
      </c>
      <c r="O697" t="s">
        <v>34</v>
      </c>
      <c r="P697" t="s">
        <v>67</v>
      </c>
      <c r="Q697" s="1">
        <v>45067</v>
      </c>
      <c r="R697" s="1">
        <v>45017</v>
      </c>
      <c r="S697" t="s">
        <v>68</v>
      </c>
      <c r="T697" s="1">
        <v>45047</v>
      </c>
      <c r="U697">
        <v>2023</v>
      </c>
    </row>
    <row r="698" spans="1:21" x14ac:dyDescent="0.3">
      <c r="A698" t="s">
        <v>808</v>
      </c>
      <c r="B698" t="s">
        <v>46</v>
      </c>
      <c r="C698" t="s">
        <v>47</v>
      </c>
      <c r="D698" t="s">
        <v>119</v>
      </c>
      <c r="E698" s="1">
        <v>45155</v>
      </c>
      <c r="F698" t="s">
        <v>57</v>
      </c>
      <c r="G698" t="s">
        <v>81</v>
      </c>
      <c r="H698">
        <v>6</v>
      </c>
      <c r="I698">
        <v>61308</v>
      </c>
      <c r="J698">
        <v>367848</v>
      </c>
      <c r="K698">
        <v>203582</v>
      </c>
      <c r="L698">
        <v>47992</v>
      </c>
      <c r="M698">
        <v>116274</v>
      </c>
      <c r="N698">
        <v>13</v>
      </c>
      <c r="O698" t="s">
        <v>61</v>
      </c>
      <c r="P698" t="s">
        <v>84</v>
      </c>
      <c r="Q698" s="1">
        <v>45151</v>
      </c>
      <c r="R698" s="1">
        <v>45108</v>
      </c>
      <c r="S698" t="s">
        <v>92</v>
      </c>
      <c r="T698" s="1">
        <v>45139</v>
      </c>
      <c r="U698">
        <v>2023</v>
      </c>
    </row>
    <row r="699" spans="1:21" x14ac:dyDescent="0.3">
      <c r="A699" t="s">
        <v>809</v>
      </c>
      <c r="B699" t="s">
        <v>37</v>
      </c>
      <c r="C699" t="s">
        <v>38</v>
      </c>
      <c r="D699" t="s">
        <v>196</v>
      </c>
      <c r="E699" s="1">
        <v>45062</v>
      </c>
      <c r="F699" t="s">
        <v>57</v>
      </c>
      <c r="G699" t="s">
        <v>98</v>
      </c>
      <c r="H699">
        <v>1</v>
      </c>
      <c r="I699">
        <v>14588</v>
      </c>
      <c r="J699">
        <v>14588</v>
      </c>
      <c r="K699">
        <v>8325</v>
      </c>
      <c r="L699">
        <v>2543</v>
      </c>
      <c r="M699">
        <v>3720</v>
      </c>
      <c r="N699">
        <v>7</v>
      </c>
      <c r="O699" t="s">
        <v>42</v>
      </c>
      <c r="P699" t="s">
        <v>62</v>
      </c>
      <c r="Q699" s="1">
        <v>45060</v>
      </c>
      <c r="R699" s="1">
        <v>45017</v>
      </c>
      <c r="S699" t="s">
        <v>68</v>
      </c>
      <c r="T699" s="1">
        <v>45047</v>
      </c>
      <c r="U699">
        <v>2023</v>
      </c>
    </row>
    <row r="700" spans="1:21" x14ac:dyDescent="0.3">
      <c r="A700" t="s">
        <v>810</v>
      </c>
      <c r="B700" t="s">
        <v>72</v>
      </c>
      <c r="C700" t="s">
        <v>47</v>
      </c>
      <c r="D700" t="s">
        <v>163</v>
      </c>
      <c r="E700" s="1">
        <v>44933</v>
      </c>
      <c r="F700" t="s">
        <v>49</v>
      </c>
      <c r="G700" t="s">
        <v>98</v>
      </c>
      <c r="H700">
        <v>6</v>
      </c>
      <c r="I700">
        <v>43156</v>
      </c>
      <c r="J700">
        <v>258936</v>
      </c>
      <c r="K700">
        <v>139661</v>
      </c>
      <c r="L700">
        <v>41942</v>
      </c>
      <c r="M700">
        <v>77333</v>
      </c>
      <c r="N700">
        <v>3</v>
      </c>
      <c r="O700" t="s">
        <v>42</v>
      </c>
      <c r="P700" t="s">
        <v>67</v>
      </c>
      <c r="Q700" s="1">
        <v>44927</v>
      </c>
      <c r="R700" s="1">
        <v>44927</v>
      </c>
      <c r="S700" t="s">
        <v>95</v>
      </c>
      <c r="T700" s="1">
        <v>44927</v>
      </c>
      <c r="U700">
        <v>2023</v>
      </c>
    </row>
    <row r="701" spans="1:21" x14ac:dyDescent="0.3">
      <c r="A701" t="s">
        <v>811</v>
      </c>
      <c r="B701" t="s">
        <v>72</v>
      </c>
      <c r="C701" t="s">
        <v>47</v>
      </c>
      <c r="D701" t="s">
        <v>97</v>
      </c>
      <c r="E701" s="1">
        <v>45053</v>
      </c>
      <c r="F701" t="s">
        <v>49</v>
      </c>
      <c r="G701" t="s">
        <v>33</v>
      </c>
      <c r="H701">
        <v>1</v>
      </c>
      <c r="I701">
        <v>4602</v>
      </c>
      <c r="J701">
        <v>4602</v>
      </c>
      <c r="K701">
        <v>1435</v>
      </c>
      <c r="L701">
        <v>497</v>
      </c>
      <c r="M701">
        <v>2670</v>
      </c>
      <c r="N701">
        <v>31</v>
      </c>
      <c r="O701" t="s">
        <v>27</v>
      </c>
      <c r="P701" t="s">
        <v>28</v>
      </c>
      <c r="Q701" s="1">
        <v>45053</v>
      </c>
      <c r="R701" s="1">
        <v>45017</v>
      </c>
      <c r="S701" t="s">
        <v>68</v>
      </c>
      <c r="T701" s="1">
        <v>45047</v>
      </c>
      <c r="U701">
        <v>2023</v>
      </c>
    </row>
    <row r="702" spans="1:21" x14ac:dyDescent="0.3">
      <c r="A702" t="s">
        <v>812</v>
      </c>
      <c r="B702" t="s">
        <v>72</v>
      </c>
      <c r="C702" t="s">
        <v>47</v>
      </c>
      <c r="D702" t="s">
        <v>174</v>
      </c>
      <c r="E702" s="1">
        <v>45114</v>
      </c>
      <c r="F702" t="s">
        <v>40</v>
      </c>
      <c r="G702" t="s">
        <v>41</v>
      </c>
      <c r="H702">
        <v>4</v>
      </c>
      <c r="I702">
        <v>35878</v>
      </c>
      <c r="J702">
        <v>143512</v>
      </c>
      <c r="K702">
        <v>85021</v>
      </c>
      <c r="L702">
        <v>21508</v>
      </c>
      <c r="M702">
        <v>36983</v>
      </c>
      <c r="N702">
        <v>38</v>
      </c>
      <c r="O702" t="s">
        <v>42</v>
      </c>
      <c r="P702" t="s">
        <v>99</v>
      </c>
      <c r="Q702" s="1">
        <v>45109</v>
      </c>
      <c r="R702" s="1">
        <v>45108</v>
      </c>
      <c r="S702" t="s">
        <v>29</v>
      </c>
      <c r="T702" s="1">
        <v>45108</v>
      </c>
      <c r="U702">
        <v>2023</v>
      </c>
    </row>
    <row r="703" spans="1:21" x14ac:dyDescent="0.3">
      <c r="A703" t="s">
        <v>813</v>
      </c>
      <c r="B703" t="s">
        <v>22</v>
      </c>
      <c r="C703" t="s">
        <v>23</v>
      </c>
      <c r="D703" t="s">
        <v>123</v>
      </c>
      <c r="E703" s="1">
        <v>45060</v>
      </c>
      <c r="F703" t="s">
        <v>40</v>
      </c>
      <c r="G703" t="s">
        <v>64</v>
      </c>
      <c r="H703">
        <v>3</v>
      </c>
      <c r="I703">
        <v>68770</v>
      </c>
      <c r="J703">
        <v>206310</v>
      </c>
      <c r="K703">
        <v>92764</v>
      </c>
      <c r="L703">
        <v>31866</v>
      </c>
      <c r="M703">
        <v>81680</v>
      </c>
      <c r="N703">
        <v>6</v>
      </c>
      <c r="O703" t="s">
        <v>34</v>
      </c>
      <c r="P703" t="s">
        <v>28</v>
      </c>
      <c r="Q703" s="1">
        <v>45060</v>
      </c>
      <c r="R703" s="1">
        <v>45017</v>
      </c>
      <c r="S703" t="s">
        <v>68</v>
      </c>
      <c r="T703" s="1">
        <v>45047</v>
      </c>
      <c r="U703">
        <v>2023</v>
      </c>
    </row>
    <row r="704" spans="1:21" x14ac:dyDescent="0.3">
      <c r="A704" t="s">
        <v>814</v>
      </c>
      <c r="B704" t="s">
        <v>72</v>
      </c>
      <c r="C704" t="s">
        <v>47</v>
      </c>
      <c r="D704" t="s">
        <v>301</v>
      </c>
      <c r="E704" s="1">
        <v>44972</v>
      </c>
      <c r="F704" t="s">
        <v>40</v>
      </c>
      <c r="G704" t="s">
        <v>33</v>
      </c>
      <c r="H704">
        <v>10</v>
      </c>
      <c r="I704">
        <v>63316</v>
      </c>
      <c r="J704">
        <v>633160</v>
      </c>
      <c r="K704">
        <v>280452</v>
      </c>
      <c r="L704">
        <v>95133</v>
      </c>
      <c r="M704">
        <v>257575</v>
      </c>
      <c r="N704">
        <v>48</v>
      </c>
      <c r="O704" t="s">
        <v>50</v>
      </c>
      <c r="P704" t="s">
        <v>43</v>
      </c>
      <c r="Q704" s="1">
        <v>44969</v>
      </c>
      <c r="R704" s="1">
        <v>44927</v>
      </c>
      <c r="S704" t="s">
        <v>85</v>
      </c>
      <c r="T704" s="1">
        <v>44958</v>
      </c>
      <c r="U704">
        <v>2023</v>
      </c>
    </row>
    <row r="705" spans="1:21" x14ac:dyDescent="0.3">
      <c r="A705" t="s">
        <v>815</v>
      </c>
      <c r="B705" t="s">
        <v>46</v>
      </c>
      <c r="C705" t="s">
        <v>47</v>
      </c>
      <c r="D705" t="s">
        <v>152</v>
      </c>
      <c r="E705" s="1">
        <v>45160</v>
      </c>
      <c r="F705" t="s">
        <v>25</v>
      </c>
      <c r="G705" t="s">
        <v>41</v>
      </c>
      <c r="H705">
        <v>4</v>
      </c>
      <c r="I705">
        <v>27684</v>
      </c>
      <c r="J705">
        <v>110736</v>
      </c>
      <c r="K705">
        <v>45345</v>
      </c>
      <c r="L705">
        <v>20121</v>
      </c>
      <c r="M705">
        <v>45270</v>
      </c>
      <c r="N705">
        <v>30</v>
      </c>
      <c r="O705" t="s">
        <v>42</v>
      </c>
      <c r="P705" t="s">
        <v>62</v>
      </c>
      <c r="Q705" s="1">
        <v>45158</v>
      </c>
      <c r="R705" s="1">
        <v>45108</v>
      </c>
      <c r="S705" t="s">
        <v>92</v>
      </c>
      <c r="T705" s="1">
        <v>45139</v>
      </c>
      <c r="U705">
        <v>2023</v>
      </c>
    </row>
    <row r="706" spans="1:21" x14ac:dyDescent="0.3">
      <c r="A706" t="s">
        <v>816</v>
      </c>
      <c r="B706" t="s">
        <v>72</v>
      </c>
      <c r="C706" t="s">
        <v>47</v>
      </c>
      <c r="D706" t="s">
        <v>83</v>
      </c>
      <c r="E706" s="1">
        <v>45163</v>
      </c>
      <c r="F706" t="s">
        <v>57</v>
      </c>
      <c r="G706" t="s">
        <v>33</v>
      </c>
      <c r="H706">
        <v>8</v>
      </c>
      <c r="I706">
        <v>12169</v>
      </c>
      <c r="J706">
        <v>97352</v>
      </c>
      <c r="K706">
        <v>50760</v>
      </c>
      <c r="L706">
        <v>19107</v>
      </c>
      <c r="M706">
        <v>27485</v>
      </c>
      <c r="N706">
        <v>31</v>
      </c>
      <c r="O706" t="s">
        <v>27</v>
      </c>
      <c r="P706" t="s">
        <v>99</v>
      </c>
      <c r="Q706" s="1">
        <v>45158</v>
      </c>
      <c r="R706" s="1">
        <v>45108</v>
      </c>
      <c r="S706" t="s">
        <v>92</v>
      </c>
      <c r="T706" s="1">
        <v>45139</v>
      </c>
      <c r="U706">
        <v>2023</v>
      </c>
    </row>
    <row r="707" spans="1:21" x14ac:dyDescent="0.3">
      <c r="A707" t="s">
        <v>817</v>
      </c>
      <c r="B707" t="s">
        <v>37</v>
      </c>
      <c r="C707" t="s">
        <v>38</v>
      </c>
      <c r="D707" t="s">
        <v>60</v>
      </c>
      <c r="E707" s="1">
        <v>45242</v>
      </c>
      <c r="F707" t="s">
        <v>49</v>
      </c>
      <c r="G707" t="s">
        <v>41</v>
      </c>
      <c r="H707">
        <v>9</v>
      </c>
      <c r="I707">
        <v>68812</v>
      </c>
      <c r="J707">
        <v>619308</v>
      </c>
      <c r="K707">
        <v>254260</v>
      </c>
      <c r="L707">
        <v>104086</v>
      </c>
      <c r="M707">
        <v>260962</v>
      </c>
      <c r="N707">
        <v>47</v>
      </c>
      <c r="O707" t="s">
        <v>50</v>
      </c>
      <c r="P707" t="s">
        <v>28</v>
      </c>
      <c r="Q707" s="1">
        <v>45242</v>
      </c>
      <c r="R707" s="1">
        <v>45200</v>
      </c>
      <c r="S707" t="s">
        <v>138</v>
      </c>
      <c r="T707" s="1">
        <v>45231</v>
      </c>
      <c r="U707">
        <v>2023</v>
      </c>
    </row>
    <row r="708" spans="1:21" x14ac:dyDescent="0.3">
      <c r="A708" t="s">
        <v>818</v>
      </c>
      <c r="B708" t="s">
        <v>31</v>
      </c>
      <c r="C708" t="s">
        <v>23</v>
      </c>
      <c r="D708" t="s">
        <v>91</v>
      </c>
      <c r="E708" s="1">
        <v>44934</v>
      </c>
      <c r="F708" t="s">
        <v>40</v>
      </c>
      <c r="G708" t="s">
        <v>58</v>
      </c>
      <c r="H708">
        <v>4</v>
      </c>
      <c r="I708">
        <v>64569</v>
      </c>
      <c r="J708">
        <v>258276</v>
      </c>
      <c r="K708">
        <v>117009</v>
      </c>
      <c r="L708">
        <v>37365</v>
      </c>
      <c r="M708">
        <v>103902</v>
      </c>
      <c r="N708">
        <v>50</v>
      </c>
      <c r="O708" t="s">
        <v>42</v>
      </c>
      <c r="P708" t="s">
        <v>28</v>
      </c>
      <c r="Q708" s="1">
        <v>44934</v>
      </c>
      <c r="R708" s="1">
        <v>44927</v>
      </c>
      <c r="S708" t="s">
        <v>95</v>
      </c>
      <c r="T708" s="1">
        <v>44927</v>
      </c>
      <c r="U708">
        <v>2023</v>
      </c>
    </row>
    <row r="709" spans="1:21" x14ac:dyDescent="0.3">
      <c r="A709" t="s">
        <v>819</v>
      </c>
      <c r="B709" t="s">
        <v>46</v>
      </c>
      <c r="C709" t="s">
        <v>47</v>
      </c>
      <c r="D709" t="s">
        <v>301</v>
      </c>
      <c r="E709" s="1">
        <v>45210</v>
      </c>
      <c r="F709" t="s">
        <v>57</v>
      </c>
      <c r="G709" t="s">
        <v>26</v>
      </c>
      <c r="H709">
        <v>4</v>
      </c>
      <c r="I709">
        <v>5886</v>
      </c>
      <c r="J709">
        <v>23544</v>
      </c>
      <c r="K709">
        <v>12740</v>
      </c>
      <c r="L709">
        <v>3244</v>
      </c>
      <c r="M709">
        <v>7560</v>
      </c>
      <c r="N709">
        <v>2</v>
      </c>
      <c r="O709" t="s">
        <v>34</v>
      </c>
      <c r="P709" t="s">
        <v>43</v>
      </c>
      <c r="Q709" s="1">
        <v>45207</v>
      </c>
      <c r="R709" s="1">
        <v>45200</v>
      </c>
      <c r="S709" t="s">
        <v>52</v>
      </c>
      <c r="T709" s="1">
        <v>45200</v>
      </c>
      <c r="U709">
        <v>2023</v>
      </c>
    </row>
    <row r="710" spans="1:21" x14ac:dyDescent="0.3">
      <c r="A710" t="s">
        <v>820</v>
      </c>
      <c r="B710" t="s">
        <v>46</v>
      </c>
      <c r="C710" t="s">
        <v>47</v>
      </c>
      <c r="D710" t="s">
        <v>154</v>
      </c>
      <c r="E710" s="1">
        <v>44946</v>
      </c>
      <c r="F710" t="s">
        <v>25</v>
      </c>
      <c r="G710" t="s">
        <v>58</v>
      </c>
      <c r="H710">
        <v>10</v>
      </c>
      <c r="I710">
        <v>16158</v>
      </c>
      <c r="J710">
        <v>161580</v>
      </c>
      <c r="K710">
        <v>50934</v>
      </c>
      <c r="L710">
        <v>26916</v>
      </c>
      <c r="M710">
        <v>83730</v>
      </c>
      <c r="N710">
        <v>14</v>
      </c>
      <c r="O710" t="s">
        <v>27</v>
      </c>
      <c r="P710" t="s">
        <v>99</v>
      </c>
      <c r="Q710" s="1">
        <v>44941</v>
      </c>
      <c r="R710" s="1">
        <v>44927</v>
      </c>
      <c r="S710" t="s">
        <v>95</v>
      </c>
      <c r="T710" s="1">
        <v>44927</v>
      </c>
      <c r="U710">
        <v>2023</v>
      </c>
    </row>
    <row r="711" spans="1:21" x14ac:dyDescent="0.3">
      <c r="A711" t="s">
        <v>821</v>
      </c>
      <c r="B711" t="s">
        <v>72</v>
      </c>
      <c r="C711" t="s">
        <v>47</v>
      </c>
      <c r="D711" t="s">
        <v>176</v>
      </c>
      <c r="E711" s="1">
        <v>45121</v>
      </c>
      <c r="F711" t="s">
        <v>25</v>
      </c>
      <c r="G711" t="s">
        <v>81</v>
      </c>
      <c r="H711">
        <v>3</v>
      </c>
      <c r="I711">
        <v>53941</v>
      </c>
      <c r="J711">
        <v>161823</v>
      </c>
      <c r="K711">
        <v>56425</v>
      </c>
      <c r="L711">
        <v>25554</v>
      </c>
      <c r="M711">
        <v>79844</v>
      </c>
      <c r="N711">
        <v>26</v>
      </c>
      <c r="O711" t="s">
        <v>50</v>
      </c>
      <c r="P711" t="s">
        <v>99</v>
      </c>
      <c r="Q711" s="1">
        <v>45116</v>
      </c>
      <c r="R711" s="1">
        <v>45108</v>
      </c>
      <c r="S711" t="s">
        <v>29</v>
      </c>
      <c r="T711" s="1">
        <v>45108</v>
      </c>
      <c r="U711">
        <v>2023</v>
      </c>
    </row>
    <row r="712" spans="1:21" x14ac:dyDescent="0.3">
      <c r="A712" t="s">
        <v>822</v>
      </c>
      <c r="B712" t="s">
        <v>72</v>
      </c>
      <c r="C712" t="s">
        <v>47</v>
      </c>
      <c r="D712" t="s">
        <v>106</v>
      </c>
      <c r="E712" s="1">
        <v>44979</v>
      </c>
      <c r="F712" t="s">
        <v>25</v>
      </c>
      <c r="G712" t="s">
        <v>58</v>
      </c>
      <c r="H712">
        <v>7</v>
      </c>
      <c r="I712">
        <v>65007</v>
      </c>
      <c r="J712">
        <v>455049</v>
      </c>
      <c r="K712">
        <v>192199</v>
      </c>
      <c r="L712">
        <v>63041</v>
      </c>
      <c r="M712">
        <v>199809</v>
      </c>
      <c r="N712">
        <v>41</v>
      </c>
      <c r="O712" t="s">
        <v>61</v>
      </c>
      <c r="P712" t="s">
        <v>43</v>
      </c>
      <c r="Q712" s="1">
        <v>44976</v>
      </c>
      <c r="R712" s="1">
        <v>44927</v>
      </c>
      <c r="S712" t="s">
        <v>85</v>
      </c>
      <c r="T712" s="1">
        <v>44958</v>
      </c>
      <c r="U712">
        <v>2023</v>
      </c>
    </row>
    <row r="713" spans="1:21" x14ac:dyDescent="0.3">
      <c r="A713" t="s">
        <v>823</v>
      </c>
      <c r="B713" t="s">
        <v>22</v>
      </c>
      <c r="C713" t="s">
        <v>23</v>
      </c>
      <c r="D713" t="s">
        <v>56</v>
      </c>
      <c r="E713" s="1">
        <v>45214</v>
      </c>
      <c r="F713" t="s">
        <v>49</v>
      </c>
      <c r="G713" t="s">
        <v>98</v>
      </c>
      <c r="H713">
        <v>1</v>
      </c>
      <c r="I713">
        <v>46077</v>
      </c>
      <c r="J713">
        <v>46077</v>
      </c>
      <c r="K713">
        <v>18230</v>
      </c>
      <c r="L713">
        <v>8681</v>
      </c>
      <c r="M713">
        <v>19166</v>
      </c>
      <c r="N713">
        <v>38</v>
      </c>
      <c r="O713" t="s">
        <v>42</v>
      </c>
      <c r="P713" t="s">
        <v>28</v>
      </c>
      <c r="Q713" s="1">
        <v>45214</v>
      </c>
      <c r="R713" s="1">
        <v>45200</v>
      </c>
      <c r="S713" t="s">
        <v>52</v>
      </c>
      <c r="T713" s="1">
        <v>45200</v>
      </c>
      <c r="U713">
        <v>2023</v>
      </c>
    </row>
    <row r="714" spans="1:21" x14ac:dyDescent="0.3">
      <c r="A714" t="s">
        <v>824</v>
      </c>
      <c r="B714" t="s">
        <v>72</v>
      </c>
      <c r="C714" t="s">
        <v>47</v>
      </c>
      <c r="D714" t="s">
        <v>80</v>
      </c>
      <c r="E714" s="1">
        <v>44992</v>
      </c>
      <c r="F714" t="s">
        <v>49</v>
      </c>
      <c r="G714" t="s">
        <v>81</v>
      </c>
      <c r="H714">
        <v>7</v>
      </c>
      <c r="I714">
        <v>59756</v>
      </c>
      <c r="J714">
        <v>418292</v>
      </c>
      <c r="K714">
        <v>150221</v>
      </c>
      <c r="L714">
        <v>53575</v>
      </c>
      <c r="M714">
        <v>214496</v>
      </c>
      <c r="N714">
        <v>49</v>
      </c>
      <c r="O714" t="s">
        <v>34</v>
      </c>
      <c r="P714" t="s">
        <v>62</v>
      </c>
      <c r="Q714" s="1">
        <v>44990</v>
      </c>
      <c r="R714" s="1">
        <v>44927</v>
      </c>
      <c r="S714" t="s">
        <v>44</v>
      </c>
      <c r="T714" s="1">
        <v>44986</v>
      </c>
      <c r="U714">
        <v>2023</v>
      </c>
    </row>
    <row r="715" spans="1:21" x14ac:dyDescent="0.3">
      <c r="A715" t="s">
        <v>825</v>
      </c>
      <c r="B715" t="s">
        <v>46</v>
      </c>
      <c r="C715" t="s">
        <v>47</v>
      </c>
      <c r="D715" t="s">
        <v>301</v>
      </c>
      <c r="E715" s="1">
        <v>45194</v>
      </c>
      <c r="F715" t="s">
        <v>57</v>
      </c>
      <c r="G715" t="s">
        <v>58</v>
      </c>
      <c r="H715">
        <v>10</v>
      </c>
      <c r="I715">
        <v>68056</v>
      </c>
      <c r="J715">
        <v>680560</v>
      </c>
      <c r="K715">
        <v>299638</v>
      </c>
      <c r="L715">
        <v>81406</v>
      </c>
      <c r="M715">
        <v>299516</v>
      </c>
      <c r="N715">
        <v>40</v>
      </c>
      <c r="O715" t="s">
        <v>27</v>
      </c>
      <c r="P715" t="s">
        <v>51</v>
      </c>
      <c r="Q715" s="1">
        <v>45193</v>
      </c>
      <c r="R715" s="1">
        <v>45108</v>
      </c>
      <c r="S715" t="s">
        <v>104</v>
      </c>
      <c r="T715" s="1">
        <v>45170</v>
      </c>
      <c r="U715">
        <v>2023</v>
      </c>
    </row>
    <row r="716" spans="1:21" x14ac:dyDescent="0.3">
      <c r="A716" t="s">
        <v>826</v>
      </c>
      <c r="B716" t="s">
        <v>37</v>
      </c>
      <c r="C716" t="s">
        <v>38</v>
      </c>
      <c r="D716" t="s">
        <v>121</v>
      </c>
      <c r="E716" s="1">
        <v>45144</v>
      </c>
      <c r="F716" t="s">
        <v>25</v>
      </c>
      <c r="G716" t="s">
        <v>58</v>
      </c>
      <c r="H716">
        <v>1</v>
      </c>
      <c r="I716">
        <v>23902</v>
      </c>
      <c r="J716">
        <v>23902</v>
      </c>
      <c r="K716">
        <v>13590</v>
      </c>
      <c r="L716">
        <v>3757</v>
      </c>
      <c r="M716">
        <v>6555</v>
      </c>
      <c r="N716">
        <v>13</v>
      </c>
      <c r="O716" t="s">
        <v>50</v>
      </c>
      <c r="P716" t="s">
        <v>28</v>
      </c>
      <c r="Q716" s="1">
        <v>45144</v>
      </c>
      <c r="R716" s="1">
        <v>45108</v>
      </c>
      <c r="S716" t="s">
        <v>92</v>
      </c>
      <c r="T716" s="1">
        <v>45139</v>
      </c>
      <c r="U716">
        <v>2023</v>
      </c>
    </row>
    <row r="717" spans="1:21" x14ac:dyDescent="0.3">
      <c r="A717" t="s">
        <v>827</v>
      </c>
      <c r="B717" t="s">
        <v>22</v>
      </c>
      <c r="C717" t="s">
        <v>23</v>
      </c>
      <c r="D717" t="s">
        <v>106</v>
      </c>
      <c r="E717" s="1">
        <v>44960</v>
      </c>
      <c r="F717" t="s">
        <v>25</v>
      </c>
      <c r="G717" t="s">
        <v>41</v>
      </c>
      <c r="H717">
        <v>4</v>
      </c>
      <c r="I717">
        <v>65358</v>
      </c>
      <c r="J717">
        <v>261432</v>
      </c>
      <c r="K717">
        <v>122390</v>
      </c>
      <c r="L717">
        <v>27263</v>
      </c>
      <c r="M717">
        <v>111779</v>
      </c>
      <c r="N717">
        <v>14</v>
      </c>
      <c r="O717" t="s">
        <v>50</v>
      </c>
      <c r="P717" t="s">
        <v>99</v>
      </c>
      <c r="Q717" s="1">
        <v>44955</v>
      </c>
      <c r="R717" s="1">
        <v>44927</v>
      </c>
      <c r="S717" t="s">
        <v>85</v>
      </c>
      <c r="T717" s="1">
        <v>44958</v>
      </c>
      <c r="U717">
        <v>2023</v>
      </c>
    </row>
    <row r="718" spans="1:21" x14ac:dyDescent="0.3">
      <c r="A718" t="s">
        <v>828</v>
      </c>
      <c r="B718" t="s">
        <v>22</v>
      </c>
      <c r="C718" t="s">
        <v>23</v>
      </c>
      <c r="D718" t="s">
        <v>39</v>
      </c>
      <c r="E718" s="1">
        <v>45129</v>
      </c>
      <c r="F718" t="s">
        <v>57</v>
      </c>
      <c r="G718" t="s">
        <v>26</v>
      </c>
      <c r="H718">
        <v>6</v>
      </c>
      <c r="I718">
        <v>21131</v>
      </c>
      <c r="J718">
        <v>126786</v>
      </c>
      <c r="K718">
        <v>74355</v>
      </c>
      <c r="L718">
        <v>24335</v>
      </c>
      <c r="M718">
        <v>28096</v>
      </c>
      <c r="N718">
        <v>5</v>
      </c>
      <c r="O718" t="s">
        <v>34</v>
      </c>
      <c r="P718" t="s">
        <v>67</v>
      </c>
      <c r="Q718" s="1">
        <v>45123</v>
      </c>
      <c r="R718" s="1">
        <v>45108</v>
      </c>
      <c r="S718" t="s">
        <v>29</v>
      </c>
      <c r="T718" s="1">
        <v>45108</v>
      </c>
      <c r="U718">
        <v>2023</v>
      </c>
    </row>
    <row r="719" spans="1:21" x14ac:dyDescent="0.3">
      <c r="A719" t="s">
        <v>829</v>
      </c>
      <c r="B719" t="s">
        <v>22</v>
      </c>
      <c r="C719" t="s">
        <v>23</v>
      </c>
      <c r="D719" t="s">
        <v>108</v>
      </c>
      <c r="E719" s="1">
        <v>45064</v>
      </c>
      <c r="F719" t="s">
        <v>49</v>
      </c>
      <c r="G719" t="s">
        <v>64</v>
      </c>
      <c r="H719">
        <v>8</v>
      </c>
      <c r="I719">
        <v>6462</v>
      </c>
      <c r="J719">
        <v>51696</v>
      </c>
      <c r="K719">
        <v>18432</v>
      </c>
      <c r="L719">
        <v>9044</v>
      </c>
      <c r="M719">
        <v>24220</v>
      </c>
      <c r="N719">
        <v>29</v>
      </c>
      <c r="O719" t="s">
        <v>34</v>
      </c>
      <c r="P719" t="s">
        <v>84</v>
      </c>
      <c r="Q719" s="1">
        <v>45060</v>
      </c>
      <c r="R719" s="1">
        <v>45017</v>
      </c>
      <c r="S719" t="s">
        <v>68</v>
      </c>
      <c r="T719" s="1">
        <v>45047</v>
      </c>
      <c r="U719">
        <v>2023</v>
      </c>
    </row>
    <row r="720" spans="1:21" x14ac:dyDescent="0.3">
      <c r="A720" t="s">
        <v>830</v>
      </c>
      <c r="B720" t="s">
        <v>46</v>
      </c>
      <c r="C720" t="s">
        <v>47</v>
      </c>
      <c r="D720" t="s">
        <v>168</v>
      </c>
      <c r="E720" s="1">
        <v>45138</v>
      </c>
      <c r="F720" t="s">
        <v>57</v>
      </c>
      <c r="G720" t="s">
        <v>64</v>
      </c>
      <c r="H720">
        <v>4</v>
      </c>
      <c r="I720">
        <v>8193</v>
      </c>
      <c r="J720">
        <v>32772</v>
      </c>
      <c r="K720">
        <v>18494</v>
      </c>
      <c r="L720">
        <v>4805</v>
      </c>
      <c r="M720">
        <v>9473</v>
      </c>
      <c r="N720">
        <v>11</v>
      </c>
      <c r="O720" t="s">
        <v>50</v>
      </c>
      <c r="P720" t="s">
        <v>51</v>
      </c>
      <c r="Q720" s="1">
        <v>45137</v>
      </c>
      <c r="R720" s="1">
        <v>45108</v>
      </c>
      <c r="S720" t="s">
        <v>29</v>
      </c>
      <c r="T720" s="1">
        <v>45108</v>
      </c>
      <c r="U720">
        <v>2023</v>
      </c>
    </row>
    <row r="721" spans="1:21" x14ac:dyDescent="0.3">
      <c r="A721" t="s">
        <v>831</v>
      </c>
      <c r="B721" t="s">
        <v>31</v>
      </c>
      <c r="C721" t="s">
        <v>23</v>
      </c>
      <c r="D721" t="s">
        <v>256</v>
      </c>
      <c r="E721" s="1">
        <v>45035</v>
      </c>
      <c r="F721" t="s">
        <v>40</v>
      </c>
      <c r="G721" t="s">
        <v>98</v>
      </c>
      <c r="H721">
        <v>10</v>
      </c>
      <c r="I721">
        <v>20140</v>
      </c>
      <c r="J721">
        <v>201400</v>
      </c>
      <c r="K721">
        <v>99531</v>
      </c>
      <c r="L721">
        <v>26920</v>
      </c>
      <c r="M721">
        <v>74949</v>
      </c>
      <c r="N721">
        <v>15</v>
      </c>
      <c r="O721" t="s">
        <v>61</v>
      </c>
      <c r="P721" t="s">
        <v>43</v>
      </c>
      <c r="Q721" s="1">
        <v>45032</v>
      </c>
      <c r="R721" s="1">
        <v>45017</v>
      </c>
      <c r="S721" t="s">
        <v>74</v>
      </c>
      <c r="T721" s="1">
        <v>45017</v>
      </c>
      <c r="U721">
        <v>2023</v>
      </c>
    </row>
    <row r="722" spans="1:21" x14ac:dyDescent="0.3">
      <c r="A722" t="s">
        <v>832</v>
      </c>
      <c r="B722" t="s">
        <v>72</v>
      </c>
      <c r="C722" t="s">
        <v>47</v>
      </c>
      <c r="D722" t="s">
        <v>66</v>
      </c>
      <c r="E722" s="1">
        <v>44954</v>
      </c>
      <c r="F722" t="s">
        <v>40</v>
      </c>
      <c r="G722" t="s">
        <v>58</v>
      </c>
      <c r="H722">
        <v>5</v>
      </c>
      <c r="I722">
        <v>51480</v>
      </c>
      <c r="J722">
        <v>257400</v>
      </c>
      <c r="K722">
        <v>105403</v>
      </c>
      <c r="L722">
        <v>36477</v>
      </c>
      <c r="M722">
        <v>115520</v>
      </c>
      <c r="N722">
        <v>4</v>
      </c>
      <c r="O722" t="s">
        <v>42</v>
      </c>
      <c r="P722" t="s">
        <v>67</v>
      </c>
      <c r="Q722" s="1">
        <v>44948</v>
      </c>
      <c r="R722" s="1">
        <v>44927</v>
      </c>
      <c r="S722" t="s">
        <v>95</v>
      </c>
      <c r="T722" s="1">
        <v>44927</v>
      </c>
      <c r="U722">
        <v>2023</v>
      </c>
    </row>
    <row r="723" spans="1:21" x14ac:dyDescent="0.3">
      <c r="A723" t="s">
        <v>833</v>
      </c>
      <c r="B723" t="s">
        <v>72</v>
      </c>
      <c r="C723" t="s">
        <v>47</v>
      </c>
      <c r="D723" t="s">
        <v>154</v>
      </c>
      <c r="E723" s="1">
        <v>45060</v>
      </c>
      <c r="F723" t="s">
        <v>49</v>
      </c>
      <c r="G723" t="s">
        <v>64</v>
      </c>
      <c r="H723">
        <v>4</v>
      </c>
      <c r="I723">
        <v>12793</v>
      </c>
      <c r="J723">
        <v>51172</v>
      </c>
      <c r="K723">
        <v>23035</v>
      </c>
      <c r="L723">
        <v>5517</v>
      </c>
      <c r="M723">
        <v>22620</v>
      </c>
      <c r="N723">
        <v>18</v>
      </c>
      <c r="O723" t="s">
        <v>34</v>
      </c>
      <c r="P723" t="s">
        <v>28</v>
      </c>
      <c r="Q723" s="1">
        <v>45060</v>
      </c>
      <c r="R723" s="1">
        <v>45017</v>
      </c>
      <c r="S723" t="s">
        <v>68</v>
      </c>
      <c r="T723" s="1">
        <v>45047</v>
      </c>
      <c r="U723">
        <v>2023</v>
      </c>
    </row>
    <row r="724" spans="1:21" x14ac:dyDescent="0.3">
      <c r="A724" t="s">
        <v>834</v>
      </c>
      <c r="B724" t="s">
        <v>46</v>
      </c>
      <c r="C724" t="s">
        <v>47</v>
      </c>
      <c r="D724" t="s">
        <v>145</v>
      </c>
      <c r="E724" s="1">
        <v>45229</v>
      </c>
      <c r="F724" t="s">
        <v>49</v>
      </c>
      <c r="G724" t="s">
        <v>26</v>
      </c>
      <c r="H724">
        <v>2</v>
      </c>
      <c r="I724">
        <v>9118</v>
      </c>
      <c r="J724">
        <v>18236</v>
      </c>
      <c r="K724">
        <v>7399</v>
      </c>
      <c r="L724">
        <v>2831</v>
      </c>
      <c r="M724">
        <v>8006</v>
      </c>
      <c r="N724">
        <v>22</v>
      </c>
      <c r="O724" t="s">
        <v>27</v>
      </c>
      <c r="P724" t="s">
        <v>51</v>
      </c>
      <c r="Q724" s="1">
        <v>45228</v>
      </c>
      <c r="R724" s="1">
        <v>45200</v>
      </c>
      <c r="S724" t="s">
        <v>52</v>
      </c>
      <c r="T724" s="1">
        <v>45200</v>
      </c>
      <c r="U724">
        <v>2023</v>
      </c>
    </row>
    <row r="725" spans="1:21" x14ac:dyDescent="0.3">
      <c r="A725" t="s">
        <v>835</v>
      </c>
      <c r="B725" t="s">
        <v>31</v>
      </c>
      <c r="C725" t="s">
        <v>23</v>
      </c>
      <c r="D725" t="s">
        <v>48</v>
      </c>
      <c r="E725" s="1">
        <v>45096</v>
      </c>
      <c r="F725" t="s">
        <v>25</v>
      </c>
      <c r="G725" t="s">
        <v>81</v>
      </c>
      <c r="H725">
        <v>3</v>
      </c>
      <c r="I725">
        <v>11075</v>
      </c>
      <c r="J725">
        <v>33225</v>
      </c>
      <c r="K725">
        <v>14520</v>
      </c>
      <c r="L725">
        <v>6474</v>
      </c>
      <c r="M725">
        <v>12231</v>
      </c>
      <c r="N725">
        <v>2</v>
      </c>
      <c r="O725" t="s">
        <v>42</v>
      </c>
      <c r="P725" t="s">
        <v>51</v>
      </c>
      <c r="Q725" s="1">
        <v>45095</v>
      </c>
      <c r="R725" s="1">
        <v>45017</v>
      </c>
      <c r="S725" t="s">
        <v>35</v>
      </c>
      <c r="T725" s="1">
        <v>45078</v>
      </c>
      <c r="U725">
        <v>2023</v>
      </c>
    </row>
    <row r="726" spans="1:21" x14ac:dyDescent="0.3">
      <c r="A726" t="s">
        <v>836</v>
      </c>
      <c r="B726" t="s">
        <v>72</v>
      </c>
      <c r="C726" t="s">
        <v>47</v>
      </c>
      <c r="D726" t="s">
        <v>137</v>
      </c>
      <c r="E726" s="1">
        <v>45224</v>
      </c>
      <c r="F726" t="s">
        <v>25</v>
      </c>
      <c r="G726" t="s">
        <v>64</v>
      </c>
      <c r="H726">
        <v>6</v>
      </c>
      <c r="I726">
        <v>30057</v>
      </c>
      <c r="J726">
        <v>180342</v>
      </c>
      <c r="K726">
        <v>70451</v>
      </c>
      <c r="L726">
        <v>33768</v>
      </c>
      <c r="M726">
        <v>76123</v>
      </c>
      <c r="N726">
        <v>12</v>
      </c>
      <c r="O726" t="s">
        <v>34</v>
      </c>
      <c r="P726" t="s">
        <v>43</v>
      </c>
      <c r="Q726" s="1">
        <v>45221</v>
      </c>
      <c r="R726" s="1">
        <v>45200</v>
      </c>
      <c r="S726" t="s">
        <v>52</v>
      </c>
      <c r="T726" s="1">
        <v>45200</v>
      </c>
      <c r="U726">
        <v>2023</v>
      </c>
    </row>
    <row r="727" spans="1:21" x14ac:dyDescent="0.3">
      <c r="A727" t="s">
        <v>837</v>
      </c>
      <c r="B727" t="s">
        <v>72</v>
      </c>
      <c r="C727" t="s">
        <v>47</v>
      </c>
      <c r="D727" t="s">
        <v>196</v>
      </c>
      <c r="E727" s="1">
        <v>45193</v>
      </c>
      <c r="F727" t="s">
        <v>25</v>
      </c>
      <c r="G727" t="s">
        <v>41</v>
      </c>
      <c r="H727">
        <v>4</v>
      </c>
      <c r="I727">
        <v>7927</v>
      </c>
      <c r="J727">
        <v>31708</v>
      </c>
      <c r="K727">
        <v>13988</v>
      </c>
      <c r="L727">
        <v>4521</v>
      </c>
      <c r="M727">
        <v>13199</v>
      </c>
      <c r="N727">
        <v>46</v>
      </c>
      <c r="O727" t="s">
        <v>42</v>
      </c>
      <c r="P727" t="s">
        <v>28</v>
      </c>
      <c r="Q727" s="1">
        <v>45193</v>
      </c>
      <c r="R727" s="1">
        <v>45108</v>
      </c>
      <c r="S727" t="s">
        <v>104</v>
      </c>
      <c r="T727" s="1">
        <v>45170</v>
      </c>
      <c r="U727">
        <v>2023</v>
      </c>
    </row>
    <row r="728" spans="1:21" x14ac:dyDescent="0.3">
      <c r="A728" t="s">
        <v>838</v>
      </c>
      <c r="B728" t="s">
        <v>31</v>
      </c>
      <c r="C728" t="s">
        <v>23</v>
      </c>
      <c r="D728" t="s">
        <v>152</v>
      </c>
      <c r="E728" s="1">
        <v>45219</v>
      </c>
      <c r="F728" t="s">
        <v>25</v>
      </c>
      <c r="G728" t="s">
        <v>26</v>
      </c>
      <c r="H728">
        <v>10</v>
      </c>
      <c r="I728">
        <v>19265</v>
      </c>
      <c r="J728">
        <v>192650</v>
      </c>
      <c r="K728">
        <v>64146</v>
      </c>
      <c r="L728">
        <v>22459</v>
      </c>
      <c r="M728">
        <v>106045</v>
      </c>
      <c r="N728">
        <v>31</v>
      </c>
      <c r="O728" t="s">
        <v>42</v>
      </c>
      <c r="P728" t="s">
        <v>99</v>
      </c>
      <c r="Q728" s="1">
        <v>45214</v>
      </c>
      <c r="R728" s="1">
        <v>45200</v>
      </c>
      <c r="S728" t="s">
        <v>52</v>
      </c>
      <c r="T728" s="1">
        <v>45200</v>
      </c>
      <c r="U728">
        <v>2023</v>
      </c>
    </row>
    <row r="729" spans="1:21" x14ac:dyDescent="0.3">
      <c r="A729" t="s">
        <v>839</v>
      </c>
      <c r="B729" t="s">
        <v>72</v>
      </c>
      <c r="C729" t="s">
        <v>47</v>
      </c>
      <c r="D729" t="s">
        <v>60</v>
      </c>
      <c r="E729" s="1">
        <v>45112</v>
      </c>
      <c r="F729" t="s">
        <v>49</v>
      </c>
      <c r="G729" t="s">
        <v>33</v>
      </c>
      <c r="H729">
        <v>9</v>
      </c>
      <c r="I729">
        <v>31712</v>
      </c>
      <c r="J729">
        <v>285408</v>
      </c>
      <c r="K729">
        <v>138234</v>
      </c>
      <c r="L729">
        <v>34690</v>
      </c>
      <c r="M729">
        <v>112484</v>
      </c>
      <c r="N729">
        <v>8</v>
      </c>
      <c r="O729" t="s">
        <v>50</v>
      </c>
      <c r="P729" t="s">
        <v>43</v>
      </c>
      <c r="Q729" s="1">
        <v>45109</v>
      </c>
      <c r="R729" s="1">
        <v>45108</v>
      </c>
      <c r="S729" t="s">
        <v>29</v>
      </c>
      <c r="T729" s="1">
        <v>45108</v>
      </c>
      <c r="U729">
        <v>2023</v>
      </c>
    </row>
    <row r="730" spans="1:21" x14ac:dyDescent="0.3">
      <c r="A730" t="s">
        <v>840</v>
      </c>
      <c r="B730" t="s">
        <v>22</v>
      </c>
      <c r="C730" t="s">
        <v>23</v>
      </c>
      <c r="D730" t="s">
        <v>89</v>
      </c>
      <c r="E730" s="1">
        <v>45140</v>
      </c>
      <c r="F730" t="s">
        <v>49</v>
      </c>
      <c r="G730" t="s">
        <v>33</v>
      </c>
      <c r="H730">
        <v>2</v>
      </c>
      <c r="I730">
        <v>52940</v>
      </c>
      <c r="J730">
        <v>105880</v>
      </c>
      <c r="K730">
        <v>44191</v>
      </c>
      <c r="L730">
        <v>12953</v>
      </c>
      <c r="M730">
        <v>48736</v>
      </c>
      <c r="N730">
        <v>27</v>
      </c>
      <c r="O730" t="s">
        <v>61</v>
      </c>
      <c r="P730" t="s">
        <v>43</v>
      </c>
      <c r="Q730" s="1">
        <v>45137</v>
      </c>
      <c r="R730" s="1">
        <v>45108</v>
      </c>
      <c r="S730" t="s">
        <v>92</v>
      </c>
      <c r="T730" s="1">
        <v>45139</v>
      </c>
      <c r="U730">
        <v>2023</v>
      </c>
    </row>
    <row r="731" spans="1:21" x14ac:dyDescent="0.3">
      <c r="A731" t="s">
        <v>841</v>
      </c>
      <c r="B731" t="s">
        <v>37</v>
      </c>
      <c r="C731" t="s">
        <v>38</v>
      </c>
      <c r="D731" t="s">
        <v>256</v>
      </c>
      <c r="E731" s="1">
        <v>44973</v>
      </c>
      <c r="F731" t="s">
        <v>25</v>
      </c>
      <c r="G731" t="s">
        <v>98</v>
      </c>
      <c r="H731">
        <v>8</v>
      </c>
      <c r="I731">
        <v>21227</v>
      </c>
      <c r="J731">
        <v>169816</v>
      </c>
      <c r="K731">
        <v>87831</v>
      </c>
      <c r="L731">
        <v>30769</v>
      </c>
      <c r="M731">
        <v>51216</v>
      </c>
      <c r="N731">
        <v>8</v>
      </c>
      <c r="O731" t="s">
        <v>34</v>
      </c>
      <c r="P731" t="s">
        <v>84</v>
      </c>
      <c r="Q731" s="1">
        <v>44969</v>
      </c>
      <c r="R731" s="1">
        <v>44927</v>
      </c>
      <c r="S731" t="s">
        <v>85</v>
      </c>
      <c r="T731" s="1">
        <v>44958</v>
      </c>
      <c r="U731">
        <v>2023</v>
      </c>
    </row>
    <row r="732" spans="1:21" x14ac:dyDescent="0.3">
      <c r="A732" t="s">
        <v>842</v>
      </c>
      <c r="B732" t="s">
        <v>31</v>
      </c>
      <c r="C732" t="s">
        <v>23</v>
      </c>
      <c r="D732" t="s">
        <v>176</v>
      </c>
      <c r="E732" s="1">
        <v>45042</v>
      </c>
      <c r="F732" t="s">
        <v>49</v>
      </c>
      <c r="G732" t="s">
        <v>64</v>
      </c>
      <c r="H732">
        <v>8</v>
      </c>
      <c r="I732">
        <v>62639</v>
      </c>
      <c r="J732">
        <v>501112</v>
      </c>
      <c r="K732">
        <v>225435</v>
      </c>
      <c r="L732">
        <v>50555</v>
      </c>
      <c r="M732">
        <v>225122</v>
      </c>
      <c r="N732">
        <v>37</v>
      </c>
      <c r="O732" t="s">
        <v>42</v>
      </c>
      <c r="P732" t="s">
        <v>43</v>
      </c>
      <c r="Q732" s="1">
        <v>45039</v>
      </c>
      <c r="R732" s="1">
        <v>45017</v>
      </c>
      <c r="S732" t="s">
        <v>74</v>
      </c>
      <c r="T732" s="1">
        <v>45017</v>
      </c>
      <c r="U732">
        <v>2023</v>
      </c>
    </row>
    <row r="733" spans="1:21" x14ac:dyDescent="0.3">
      <c r="A733" t="s">
        <v>843</v>
      </c>
      <c r="B733" t="s">
        <v>37</v>
      </c>
      <c r="C733" t="s">
        <v>38</v>
      </c>
      <c r="D733" t="s">
        <v>174</v>
      </c>
      <c r="E733" s="1">
        <v>45078</v>
      </c>
      <c r="F733" t="s">
        <v>57</v>
      </c>
      <c r="G733" t="s">
        <v>33</v>
      </c>
      <c r="H733">
        <v>5</v>
      </c>
      <c r="I733">
        <v>42127</v>
      </c>
      <c r="J733">
        <v>210635</v>
      </c>
      <c r="K733">
        <v>110275</v>
      </c>
      <c r="L733">
        <v>31037</v>
      </c>
      <c r="M733">
        <v>69323</v>
      </c>
      <c r="N733">
        <v>3</v>
      </c>
      <c r="O733" t="s">
        <v>42</v>
      </c>
      <c r="P733" t="s">
        <v>84</v>
      </c>
      <c r="Q733" s="1">
        <v>45074</v>
      </c>
      <c r="R733" s="1">
        <v>45017</v>
      </c>
      <c r="S733" t="s">
        <v>35</v>
      </c>
      <c r="T733" s="1">
        <v>45078</v>
      </c>
      <c r="U733">
        <v>2023</v>
      </c>
    </row>
    <row r="734" spans="1:21" x14ac:dyDescent="0.3">
      <c r="A734" t="s">
        <v>844</v>
      </c>
      <c r="B734" t="s">
        <v>46</v>
      </c>
      <c r="C734" t="s">
        <v>47</v>
      </c>
      <c r="D734" t="s">
        <v>174</v>
      </c>
      <c r="E734" s="1">
        <v>45059</v>
      </c>
      <c r="F734" t="s">
        <v>49</v>
      </c>
      <c r="G734" t="s">
        <v>81</v>
      </c>
      <c r="H734">
        <v>5</v>
      </c>
      <c r="I734">
        <v>24905</v>
      </c>
      <c r="J734">
        <v>124525</v>
      </c>
      <c r="K734">
        <v>60817</v>
      </c>
      <c r="L734">
        <v>24261</v>
      </c>
      <c r="M734">
        <v>39447</v>
      </c>
      <c r="N734">
        <v>29</v>
      </c>
      <c r="O734" t="s">
        <v>50</v>
      </c>
      <c r="P734" t="s">
        <v>67</v>
      </c>
      <c r="Q734" s="1">
        <v>45053</v>
      </c>
      <c r="R734" s="1">
        <v>45017</v>
      </c>
      <c r="S734" t="s">
        <v>68</v>
      </c>
      <c r="T734" s="1">
        <v>45047</v>
      </c>
      <c r="U734">
        <v>2023</v>
      </c>
    </row>
    <row r="735" spans="1:21" x14ac:dyDescent="0.3">
      <c r="A735" t="s">
        <v>845</v>
      </c>
      <c r="B735" t="s">
        <v>37</v>
      </c>
      <c r="C735" t="s">
        <v>38</v>
      </c>
      <c r="D735" t="s">
        <v>128</v>
      </c>
      <c r="E735" s="1">
        <v>45246</v>
      </c>
      <c r="F735" t="s">
        <v>57</v>
      </c>
      <c r="G735" t="s">
        <v>64</v>
      </c>
      <c r="H735">
        <v>3</v>
      </c>
      <c r="I735">
        <v>58876</v>
      </c>
      <c r="J735">
        <v>176628</v>
      </c>
      <c r="K735">
        <v>65414</v>
      </c>
      <c r="L735">
        <v>25768</v>
      </c>
      <c r="M735">
        <v>85446</v>
      </c>
      <c r="N735">
        <v>14</v>
      </c>
      <c r="O735" t="s">
        <v>42</v>
      </c>
      <c r="P735" t="s">
        <v>84</v>
      </c>
      <c r="Q735" s="1">
        <v>45242</v>
      </c>
      <c r="R735" s="1">
        <v>45200</v>
      </c>
      <c r="S735" t="s">
        <v>138</v>
      </c>
      <c r="T735" s="1">
        <v>45231</v>
      </c>
      <c r="U735">
        <v>2023</v>
      </c>
    </row>
    <row r="736" spans="1:21" x14ac:dyDescent="0.3">
      <c r="A736" t="s">
        <v>846</v>
      </c>
      <c r="B736" t="s">
        <v>37</v>
      </c>
      <c r="C736" t="s">
        <v>38</v>
      </c>
      <c r="D736" t="s">
        <v>70</v>
      </c>
      <c r="E736" s="1">
        <v>45129</v>
      </c>
      <c r="F736" t="s">
        <v>57</v>
      </c>
      <c r="G736" t="s">
        <v>26</v>
      </c>
      <c r="H736">
        <v>2</v>
      </c>
      <c r="I736">
        <v>14898</v>
      </c>
      <c r="J736">
        <v>29796</v>
      </c>
      <c r="K736">
        <v>15190</v>
      </c>
      <c r="L736">
        <v>4497</v>
      </c>
      <c r="M736">
        <v>10109</v>
      </c>
      <c r="N736">
        <v>24</v>
      </c>
      <c r="O736" t="s">
        <v>34</v>
      </c>
      <c r="P736" t="s">
        <v>67</v>
      </c>
      <c r="Q736" s="1">
        <v>45123</v>
      </c>
      <c r="R736" s="1">
        <v>45108</v>
      </c>
      <c r="S736" t="s">
        <v>29</v>
      </c>
      <c r="T736" s="1">
        <v>45108</v>
      </c>
      <c r="U736">
        <v>2023</v>
      </c>
    </row>
    <row r="737" spans="1:21" x14ac:dyDescent="0.3">
      <c r="A737" t="s">
        <v>847</v>
      </c>
      <c r="B737" t="s">
        <v>22</v>
      </c>
      <c r="C737" t="s">
        <v>23</v>
      </c>
      <c r="D737" t="s">
        <v>56</v>
      </c>
      <c r="E737" s="1">
        <v>45063</v>
      </c>
      <c r="F737" t="s">
        <v>57</v>
      </c>
      <c r="G737" t="s">
        <v>81</v>
      </c>
      <c r="H737">
        <v>2</v>
      </c>
      <c r="I737">
        <v>52504</v>
      </c>
      <c r="J737">
        <v>105008</v>
      </c>
      <c r="K737">
        <v>56503</v>
      </c>
      <c r="L737">
        <v>12585</v>
      </c>
      <c r="M737">
        <v>35920</v>
      </c>
      <c r="N737">
        <v>24</v>
      </c>
      <c r="O737" t="s">
        <v>42</v>
      </c>
      <c r="P737" t="s">
        <v>43</v>
      </c>
      <c r="Q737" s="1">
        <v>45060</v>
      </c>
      <c r="R737" s="1">
        <v>45017</v>
      </c>
      <c r="S737" t="s">
        <v>68</v>
      </c>
      <c r="T737" s="1">
        <v>45047</v>
      </c>
      <c r="U737">
        <v>2023</v>
      </c>
    </row>
    <row r="738" spans="1:21" x14ac:dyDescent="0.3">
      <c r="A738" t="s">
        <v>848</v>
      </c>
      <c r="B738" t="s">
        <v>37</v>
      </c>
      <c r="C738" t="s">
        <v>38</v>
      </c>
      <c r="D738" t="s">
        <v>128</v>
      </c>
      <c r="E738" s="1">
        <v>45194</v>
      </c>
      <c r="F738" t="s">
        <v>40</v>
      </c>
      <c r="G738" t="s">
        <v>98</v>
      </c>
      <c r="H738">
        <v>1</v>
      </c>
      <c r="I738">
        <v>45272</v>
      </c>
      <c r="J738">
        <v>45272</v>
      </c>
      <c r="K738">
        <v>26704</v>
      </c>
      <c r="L738">
        <v>7698</v>
      </c>
      <c r="M738">
        <v>10870</v>
      </c>
      <c r="N738">
        <v>46</v>
      </c>
      <c r="O738" t="s">
        <v>42</v>
      </c>
      <c r="P738" t="s">
        <v>51</v>
      </c>
      <c r="Q738" s="1">
        <v>45193</v>
      </c>
      <c r="R738" s="1">
        <v>45108</v>
      </c>
      <c r="S738" t="s">
        <v>104</v>
      </c>
      <c r="T738" s="1">
        <v>45170</v>
      </c>
      <c r="U738">
        <v>2023</v>
      </c>
    </row>
    <row r="739" spans="1:21" x14ac:dyDescent="0.3">
      <c r="A739" t="s">
        <v>849</v>
      </c>
      <c r="B739" t="s">
        <v>72</v>
      </c>
      <c r="C739" t="s">
        <v>47</v>
      </c>
      <c r="D739" t="s">
        <v>117</v>
      </c>
      <c r="E739" s="1">
        <v>45142</v>
      </c>
      <c r="F739" t="s">
        <v>57</v>
      </c>
      <c r="G739" t="s">
        <v>64</v>
      </c>
      <c r="H739">
        <v>1</v>
      </c>
      <c r="I739">
        <v>11489</v>
      </c>
      <c r="J739">
        <v>11489</v>
      </c>
      <c r="K739">
        <v>6028</v>
      </c>
      <c r="L739">
        <v>1980</v>
      </c>
      <c r="M739">
        <v>3481</v>
      </c>
      <c r="N739">
        <v>20</v>
      </c>
      <c r="O739" t="s">
        <v>42</v>
      </c>
      <c r="P739" t="s">
        <v>99</v>
      </c>
      <c r="Q739" s="1">
        <v>45137</v>
      </c>
      <c r="R739" s="1">
        <v>45108</v>
      </c>
      <c r="S739" t="s">
        <v>92</v>
      </c>
      <c r="T739" s="1">
        <v>45139</v>
      </c>
      <c r="U739">
        <v>2023</v>
      </c>
    </row>
    <row r="740" spans="1:21" x14ac:dyDescent="0.3">
      <c r="A740" t="s">
        <v>850</v>
      </c>
      <c r="B740" t="s">
        <v>37</v>
      </c>
      <c r="C740" t="s">
        <v>38</v>
      </c>
      <c r="D740" t="s">
        <v>56</v>
      </c>
      <c r="E740" s="1">
        <v>45137</v>
      </c>
      <c r="F740" t="s">
        <v>25</v>
      </c>
      <c r="G740" t="s">
        <v>58</v>
      </c>
      <c r="H740">
        <v>7</v>
      </c>
      <c r="I740">
        <v>11061</v>
      </c>
      <c r="J740">
        <v>77427</v>
      </c>
      <c r="K740">
        <v>37757</v>
      </c>
      <c r="L740">
        <v>13867</v>
      </c>
      <c r="M740">
        <v>25803</v>
      </c>
      <c r="N740">
        <v>13</v>
      </c>
      <c r="O740" t="s">
        <v>50</v>
      </c>
      <c r="P740" t="s">
        <v>28</v>
      </c>
      <c r="Q740" s="1">
        <v>45137</v>
      </c>
      <c r="R740" s="1">
        <v>45108</v>
      </c>
      <c r="S740" t="s">
        <v>29</v>
      </c>
      <c r="T740" s="1">
        <v>45108</v>
      </c>
      <c r="U740">
        <v>2023</v>
      </c>
    </row>
    <row r="741" spans="1:21" x14ac:dyDescent="0.3">
      <c r="A741" t="s">
        <v>851</v>
      </c>
      <c r="B741" t="s">
        <v>72</v>
      </c>
      <c r="C741" t="s">
        <v>47</v>
      </c>
      <c r="D741" t="s">
        <v>48</v>
      </c>
      <c r="E741" s="1">
        <v>45107</v>
      </c>
      <c r="F741" t="s">
        <v>25</v>
      </c>
      <c r="G741" t="s">
        <v>64</v>
      </c>
      <c r="H741">
        <v>4</v>
      </c>
      <c r="I741">
        <v>3094</v>
      </c>
      <c r="J741">
        <v>12376</v>
      </c>
      <c r="K741">
        <v>7004</v>
      </c>
      <c r="L741">
        <v>2194</v>
      </c>
      <c r="M741">
        <v>3178</v>
      </c>
      <c r="N741">
        <v>34</v>
      </c>
      <c r="O741" t="s">
        <v>34</v>
      </c>
      <c r="P741" t="s">
        <v>99</v>
      </c>
      <c r="Q741" s="1">
        <v>45102</v>
      </c>
      <c r="R741" s="1">
        <v>45017</v>
      </c>
      <c r="S741" t="s">
        <v>35</v>
      </c>
      <c r="T741" s="1">
        <v>45078</v>
      </c>
      <c r="U741">
        <v>2023</v>
      </c>
    </row>
    <row r="742" spans="1:21" x14ac:dyDescent="0.3">
      <c r="A742" t="s">
        <v>852</v>
      </c>
      <c r="B742" t="s">
        <v>46</v>
      </c>
      <c r="C742" t="s">
        <v>47</v>
      </c>
      <c r="D742" t="s">
        <v>209</v>
      </c>
      <c r="E742" s="1">
        <v>45018</v>
      </c>
      <c r="F742" t="s">
        <v>40</v>
      </c>
      <c r="G742" t="s">
        <v>58</v>
      </c>
      <c r="H742">
        <v>9</v>
      </c>
      <c r="I742">
        <v>32412</v>
      </c>
      <c r="J742">
        <v>291708</v>
      </c>
      <c r="K742">
        <v>139949</v>
      </c>
      <c r="L742">
        <v>44942</v>
      </c>
      <c r="M742">
        <v>106817</v>
      </c>
      <c r="N742">
        <v>32</v>
      </c>
      <c r="O742" t="s">
        <v>50</v>
      </c>
      <c r="P742" t="s">
        <v>28</v>
      </c>
      <c r="Q742" s="1">
        <v>45018</v>
      </c>
      <c r="R742" s="1">
        <v>45017</v>
      </c>
      <c r="S742" t="s">
        <v>74</v>
      </c>
      <c r="T742" s="1">
        <v>45017</v>
      </c>
      <c r="U742">
        <v>2023</v>
      </c>
    </row>
    <row r="743" spans="1:21" x14ac:dyDescent="0.3">
      <c r="A743" t="s">
        <v>853</v>
      </c>
      <c r="B743" t="s">
        <v>22</v>
      </c>
      <c r="C743" t="s">
        <v>23</v>
      </c>
      <c r="D743" t="s">
        <v>145</v>
      </c>
      <c r="E743" s="1">
        <v>45197</v>
      </c>
      <c r="F743" t="s">
        <v>49</v>
      </c>
      <c r="G743" t="s">
        <v>26</v>
      </c>
      <c r="H743">
        <v>9</v>
      </c>
      <c r="I743">
        <v>69762</v>
      </c>
      <c r="J743">
        <v>627858</v>
      </c>
      <c r="K743">
        <v>250601</v>
      </c>
      <c r="L743">
        <v>119816</v>
      </c>
      <c r="M743">
        <v>257441</v>
      </c>
      <c r="N743">
        <v>5</v>
      </c>
      <c r="O743" t="s">
        <v>50</v>
      </c>
      <c r="P743" t="s">
        <v>84</v>
      </c>
      <c r="Q743" s="1">
        <v>45193</v>
      </c>
      <c r="R743" s="1">
        <v>45108</v>
      </c>
      <c r="S743" t="s">
        <v>104</v>
      </c>
      <c r="T743" s="1">
        <v>45170</v>
      </c>
      <c r="U743">
        <v>2023</v>
      </c>
    </row>
    <row r="744" spans="1:21" x14ac:dyDescent="0.3">
      <c r="A744" t="s">
        <v>854</v>
      </c>
      <c r="B744" t="s">
        <v>22</v>
      </c>
      <c r="C744" t="s">
        <v>23</v>
      </c>
      <c r="D744" t="s">
        <v>142</v>
      </c>
      <c r="E744" s="1">
        <v>44980</v>
      </c>
      <c r="F744" t="s">
        <v>57</v>
      </c>
      <c r="G744" t="s">
        <v>81</v>
      </c>
      <c r="H744">
        <v>5</v>
      </c>
      <c r="I744">
        <v>45566</v>
      </c>
      <c r="J744">
        <v>227830</v>
      </c>
      <c r="K744">
        <v>75985</v>
      </c>
      <c r="L744">
        <v>40946</v>
      </c>
      <c r="M744">
        <v>110899</v>
      </c>
      <c r="N744">
        <v>3</v>
      </c>
      <c r="O744" t="s">
        <v>34</v>
      </c>
      <c r="P744" t="s">
        <v>84</v>
      </c>
      <c r="Q744" s="1">
        <v>44976</v>
      </c>
      <c r="R744" s="1">
        <v>44927</v>
      </c>
      <c r="S744" t="s">
        <v>85</v>
      </c>
      <c r="T744" s="1">
        <v>44958</v>
      </c>
      <c r="U744">
        <v>2023</v>
      </c>
    </row>
    <row r="745" spans="1:21" x14ac:dyDescent="0.3">
      <c r="A745" t="s">
        <v>855</v>
      </c>
      <c r="B745" t="s">
        <v>31</v>
      </c>
      <c r="C745" t="s">
        <v>23</v>
      </c>
      <c r="D745" t="s">
        <v>101</v>
      </c>
      <c r="E745" s="1">
        <v>45166</v>
      </c>
      <c r="F745" t="s">
        <v>49</v>
      </c>
      <c r="G745" t="s">
        <v>98</v>
      </c>
      <c r="H745">
        <v>4</v>
      </c>
      <c r="I745">
        <v>43990</v>
      </c>
      <c r="J745">
        <v>175960</v>
      </c>
      <c r="K745">
        <v>75864</v>
      </c>
      <c r="L745">
        <v>32199</v>
      </c>
      <c r="M745">
        <v>67897</v>
      </c>
      <c r="N745">
        <v>29</v>
      </c>
      <c r="O745" t="s">
        <v>50</v>
      </c>
      <c r="P745" t="s">
        <v>51</v>
      </c>
      <c r="Q745" s="1">
        <v>45165</v>
      </c>
      <c r="R745" s="1">
        <v>45108</v>
      </c>
      <c r="S745" t="s">
        <v>92</v>
      </c>
      <c r="T745" s="1">
        <v>45139</v>
      </c>
      <c r="U745">
        <v>2023</v>
      </c>
    </row>
    <row r="746" spans="1:21" x14ac:dyDescent="0.3">
      <c r="A746" t="s">
        <v>856</v>
      </c>
      <c r="B746" t="s">
        <v>22</v>
      </c>
      <c r="C746" t="s">
        <v>23</v>
      </c>
      <c r="D746" t="s">
        <v>176</v>
      </c>
      <c r="E746" s="1">
        <v>45005</v>
      </c>
      <c r="F746" t="s">
        <v>49</v>
      </c>
      <c r="G746" t="s">
        <v>64</v>
      </c>
      <c r="H746">
        <v>5</v>
      </c>
      <c r="I746">
        <v>62514</v>
      </c>
      <c r="J746">
        <v>312570</v>
      </c>
      <c r="K746">
        <v>176697</v>
      </c>
      <c r="L746">
        <v>42786</v>
      </c>
      <c r="M746">
        <v>93087</v>
      </c>
      <c r="N746">
        <v>26</v>
      </c>
      <c r="O746" t="s">
        <v>27</v>
      </c>
      <c r="P746" t="s">
        <v>51</v>
      </c>
      <c r="Q746" s="1">
        <v>45004</v>
      </c>
      <c r="R746" s="1">
        <v>44927</v>
      </c>
      <c r="S746" t="s">
        <v>44</v>
      </c>
      <c r="T746" s="1">
        <v>44986</v>
      </c>
      <c r="U746">
        <v>2023</v>
      </c>
    </row>
    <row r="747" spans="1:21" x14ac:dyDescent="0.3">
      <c r="A747" t="s">
        <v>857</v>
      </c>
      <c r="B747" t="s">
        <v>22</v>
      </c>
      <c r="C747" t="s">
        <v>23</v>
      </c>
      <c r="D747" t="s">
        <v>301</v>
      </c>
      <c r="E747" s="1">
        <v>45036</v>
      </c>
      <c r="F747" t="s">
        <v>57</v>
      </c>
      <c r="G747" t="s">
        <v>64</v>
      </c>
      <c r="H747">
        <v>10</v>
      </c>
      <c r="I747">
        <v>44027</v>
      </c>
      <c r="J747">
        <v>440270</v>
      </c>
      <c r="K747">
        <v>191572</v>
      </c>
      <c r="L747">
        <v>83273</v>
      </c>
      <c r="M747">
        <v>165425</v>
      </c>
      <c r="N747">
        <v>41</v>
      </c>
      <c r="O747" t="s">
        <v>42</v>
      </c>
      <c r="P747" t="s">
        <v>84</v>
      </c>
      <c r="Q747" s="1">
        <v>45032</v>
      </c>
      <c r="R747" s="1">
        <v>45017</v>
      </c>
      <c r="S747" t="s">
        <v>74</v>
      </c>
      <c r="T747" s="1">
        <v>45017</v>
      </c>
      <c r="U747">
        <v>2023</v>
      </c>
    </row>
    <row r="748" spans="1:21" x14ac:dyDescent="0.3">
      <c r="A748" t="s">
        <v>858</v>
      </c>
      <c r="B748" t="s">
        <v>72</v>
      </c>
      <c r="C748" t="s">
        <v>47</v>
      </c>
      <c r="D748" t="s">
        <v>176</v>
      </c>
      <c r="E748" s="1">
        <v>45082</v>
      </c>
      <c r="F748" t="s">
        <v>25</v>
      </c>
      <c r="G748" t="s">
        <v>26</v>
      </c>
      <c r="H748">
        <v>5</v>
      </c>
      <c r="I748">
        <v>17866</v>
      </c>
      <c r="J748">
        <v>89330</v>
      </c>
      <c r="K748">
        <v>38880</v>
      </c>
      <c r="L748">
        <v>10632</v>
      </c>
      <c r="M748">
        <v>39818</v>
      </c>
      <c r="N748">
        <v>17</v>
      </c>
      <c r="O748" t="s">
        <v>34</v>
      </c>
      <c r="P748" t="s">
        <v>51</v>
      </c>
      <c r="Q748" s="1">
        <v>45081</v>
      </c>
      <c r="R748" s="1">
        <v>45017</v>
      </c>
      <c r="S748" t="s">
        <v>35</v>
      </c>
      <c r="T748" s="1">
        <v>45078</v>
      </c>
      <c r="U748">
        <v>2023</v>
      </c>
    </row>
    <row r="749" spans="1:21" x14ac:dyDescent="0.3">
      <c r="A749" t="s">
        <v>859</v>
      </c>
      <c r="B749" t="s">
        <v>31</v>
      </c>
      <c r="C749" t="s">
        <v>23</v>
      </c>
      <c r="D749" t="s">
        <v>80</v>
      </c>
      <c r="E749" s="1">
        <v>44938</v>
      </c>
      <c r="F749" t="s">
        <v>40</v>
      </c>
      <c r="G749" t="s">
        <v>26</v>
      </c>
      <c r="H749">
        <v>2</v>
      </c>
      <c r="I749">
        <v>68348</v>
      </c>
      <c r="J749">
        <v>136696</v>
      </c>
      <c r="K749">
        <v>50510</v>
      </c>
      <c r="L749">
        <v>21710</v>
      </c>
      <c r="M749">
        <v>64476</v>
      </c>
      <c r="N749">
        <v>12</v>
      </c>
      <c r="O749" t="s">
        <v>42</v>
      </c>
      <c r="P749" t="s">
        <v>84</v>
      </c>
      <c r="Q749" s="1">
        <v>44934</v>
      </c>
      <c r="R749" s="1">
        <v>44927</v>
      </c>
      <c r="S749" t="s">
        <v>95</v>
      </c>
      <c r="T749" s="1">
        <v>44927</v>
      </c>
      <c r="U749">
        <v>2023</v>
      </c>
    </row>
    <row r="750" spans="1:21" x14ac:dyDescent="0.3">
      <c r="A750" t="s">
        <v>860</v>
      </c>
      <c r="B750" t="s">
        <v>37</v>
      </c>
      <c r="C750" t="s">
        <v>38</v>
      </c>
      <c r="D750" t="s">
        <v>83</v>
      </c>
      <c r="E750" s="1">
        <v>45105</v>
      </c>
      <c r="F750" t="s">
        <v>40</v>
      </c>
      <c r="G750" t="s">
        <v>41</v>
      </c>
      <c r="H750">
        <v>8</v>
      </c>
      <c r="I750">
        <v>53309</v>
      </c>
      <c r="J750">
        <v>426472</v>
      </c>
      <c r="K750">
        <v>254617</v>
      </c>
      <c r="L750">
        <v>70885</v>
      </c>
      <c r="M750">
        <v>100970</v>
      </c>
      <c r="N750">
        <v>14</v>
      </c>
      <c r="O750" t="s">
        <v>27</v>
      </c>
      <c r="P750" t="s">
        <v>43</v>
      </c>
      <c r="Q750" s="1">
        <v>45102</v>
      </c>
      <c r="R750" s="1">
        <v>45017</v>
      </c>
      <c r="S750" t="s">
        <v>35</v>
      </c>
      <c r="T750" s="1">
        <v>45078</v>
      </c>
      <c r="U750">
        <v>2023</v>
      </c>
    </row>
    <row r="751" spans="1:21" x14ac:dyDescent="0.3">
      <c r="A751" t="s">
        <v>861</v>
      </c>
      <c r="B751" t="s">
        <v>37</v>
      </c>
      <c r="C751" t="s">
        <v>38</v>
      </c>
      <c r="D751" t="s">
        <v>60</v>
      </c>
      <c r="E751" s="1">
        <v>45177</v>
      </c>
      <c r="F751" t="s">
        <v>49</v>
      </c>
      <c r="G751" t="s">
        <v>81</v>
      </c>
      <c r="H751">
        <v>3</v>
      </c>
      <c r="I751">
        <v>15449</v>
      </c>
      <c r="J751">
        <v>46347</v>
      </c>
      <c r="K751">
        <v>14285</v>
      </c>
      <c r="L751">
        <v>4699</v>
      </c>
      <c r="M751">
        <v>27363</v>
      </c>
      <c r="N751">
        <v>26</v>
      </c>
      <c r="O751" t="s">
        <v>42</v>
      </c>
      <c r="P751" t="s">
        <v>99</v>
      </c>
      <c r="Q751" s="1">
        <v>45172</v>
      </c>
      <c r="R751" s="1">
        <v>45108</v>
      </c>
      <c r="S751" t="s">
        <v>104</v>
      </c>
      <c r="T751" s="1">
        <v>45170</v>
      </c>
      <c r="U751">
        <v>2023</v>
      </c>
    </row>
    <row r="752" spans="1:21" x14ac:dyDescent="0.3">
      <c r="A752" t="s">
        <v>862</v>
      </c>
      <c r="B752" t="s">
        <v>72</v>
      </c>
      <c r="C752" t="s">
        <v>47</v>
      </c>
      <c r="D752" t="s">
        <v>32</v>
      </c>
      <c r="E752" s="1">
        <v>45213</v>
      </c>
      <c r="F752" t="s">
        <v>49</v>
      </c>
      <c r="G752" t="s">
        <v>33</v>
      </c>
      <c r="H752">
        <v>7</v>
      </c>
      <c r="I752">
        <v>68539</v>
      </c>
      <c r="J752">
        <v>479773</v>
      </c>
      <c r="K752">
        <v>179796</v>
      </c>
      <c r="L752">
        <v>92853</v>
      </c>
      <c r="M752">
        <v>207124</v>
      </c>
      <c r="N752">
        <v>4</v>
      </c>
      <c r="O752" t="s">
        <v>50</v>
      </c>
      <c r="P752" t="s">
        <v>67</v>
      </c>
      <c r="Q752" s="1">
        <v>45207</v>
      </c>
      <c r="R752" s="1">
        <v>45200</v>
      </c>
      <c r="S752" t="s">
        <v>52</v>
      </c>
      <c r="T752" s="1">
        <v>45200</v>
      </c>
      <c r="U752">
        <v>2023</v>
      </c>
    </row>
    <row r="753" spans="1:21" x14ac:dyDescent="0.3">
      <c r="A753" t="s">
        <v>863</v>
      </c>
      <c r="B753" t="s">
        <v>72</v>
      </c>
      <c r="C753" t="s">
        <v>47</v>
      </c>
      <c r="D753" t="s">
        <v>188</v>
      </c>
      <c r="E753" s="1">
        <v>44982</v>
      </c>
      <c r="F753" t="s">
        <v>40</v>
      </c>
      <c r="G753" t="s">
        <v>98</v>
      </c>
      <c r="H753">
        <v>10</v>
      </c>
      <c r="I753">
        <v>5103</v>
      </c>
      <c r="J753">
        <v>51030</v>
      </c>
      <c r="K753">
        <v>26954</v>
      </c>
      <c r="L753">
        <v>6447</v>
      </c>
      <c r="M753">
        <v>17629</v>
      </c>
      <c r="N753">
        <v>42</v>
      </c>
      <c r="O753" t="s">
        <v>42</v>
      </c>
      <c r="P753" t="s">
        <v>67</v>
      </c>
      <c r="Q753" s="1">
        <v>44976</v>
      </c>
      <c r="R753" s="1">
        <v>44927</v>
      </c>
      <c r="S753" t="s">
        <v>85</v>
      </c>
      <c r="T753" s="1">
        <v>44958</v>
      </c>
      <c r="U753">
        <v>2023</v>
      </c>
    </row>
    <row r="754" spans="1:21" x14ac:dyDescent="0.3">
      <c r="A754" t="s">
        <v>864</v>
      </c>
      <c r="B754" t="s">
        <v>22</v>
      </c>
      <c r="C754" t="s">
        <v>23</v>
      </c>
      <c r="D754" t="s">
        <v>78</v>
      </c>
      <c r="E754" s="1">
        <v>44931</v>
      </c>
      <c r="F754" t="s">
        <v>25</v>
      </c>
      <c r="G754" t="s">
        <v>64</v>
      </c>
      <c r="H754">
        <v>1</v>
      </c>
      <c r="I754">
        <v>3091</v>
      </c>
      <c r="J754">
        <v>3091</v>
      </c>
      <c r="K754">
        <v>1659</v>
      </c>
      <c r="L754">
        <v>423</v>
      </c>
      <c r="M754">
        <v>1009</v>
      </c>
      <c r="N754">
        <v>26</v>
      </c>
      <c r="O754" t="s">
        <v>27</v>
      </c>
      <c r="P754" t="s">
        <v>84</v>
      </c>
      <c r="Q754" s="1">
        <v>44927</v>
      </c>
      <c r="R754" s="1">
        <v>44927</v>
      </c>
      <c r="S754" t="s">
        <v>95</v>
      </c>
      <c r="T754" s="1">
        <v>44927</v>
      </c>
      <c r="U754">
        <v>2023</v>
      </c>
    </row>
    <row r="755" spans="1:21" x14ac:dyDescent="0.3">
      <c r="A755" t="s">
        <v>865</v>
      </c>
      <c r="B755" t="s">
        <v>22</v>
      </c>
      <c r="C755" t="s">
        <v>23</v>
      </c>
      <c r="D755" t="s">
        <v>128</v>
      </c>
      <c r="E755" s="1">
        <v>45223</v>
      </c>
      <c r="F755" t="s">
        <v>49</v>
      </c>
      <c r="G755" t="s">
        <v>41</v>
      </c>
      <c r="H755">
        <v>1</v>
      </c>
      <c r="I755">
        <v>44534</v>
      </c>
      <c r="J755">
        <v>44534</v>
      </c>
      <c r="K755">
        <v>21946</v>
      </c>
      <c r="L755">
        <v>8229</v>
      </c>
      <c r="M755">
        <v>14359</v>
      </c>
      <c r="N755">
        <v>0</v>
      </c>
      <c r="O755" t="s">
        <v>61</v>
      </c>
      <c r="P755" t="s">
        <v>62</v>
      </c>
      <c r="Q755" s="1">
        <v>45221</v>
      </c>
      <c r="R755" s="1">
        <v>45200</v>
      </c>
      <c r="S755" t="s">
        <v>52</v>
      </c>
      <c r="T755" s="1">
        <v>45200</v>
      </c>
      <c r="U755">
        <v>2023</v>
      </c>
    </row>
    <row r="756" spans="1:21" x14ac:dyDescent="0.3">
      <c r="A756" t="s">
        <v>866</v>
      </c>
      <c r="B756" t="s">
        <v>37</v>
      </c>
      <c r="C756" t="s">
        <v>38</v>
      </c>
      <c r="D756" t="s">
        <v>188</v>
      </c>
      <c r="E756" s="1">
        <v>45080</v>
      </c>
      <c r="F756" t="s">
        <v>49</v>
      </c>
      <c r="G756" t="s">
        <v>98</v>
      </c>
      <c r="H756">
        <v>8</v>
      </c>
      <c r="I756">
        <v>33779</v>
      </c>
      <c r="J756">
        <v>270232</v>
      </c>
      <c r="K756">
        <v>139385</v>
      </c>
      <c r="L756">
        <v>36252</v>
      </c>
      <c r="M756">
        <v>94595</v>
      </c>
      <c r="N756">
        <v>1</v>
      </c>
      <c r="O756" t="s">
        <v>61</v>
      </c>
      <c r="P756" t="s">
        <v>67</v>
      </c>
      <c r="Q756" s="1">
        <v>45074</v>
      </c>
      <c r="R756" s="1">
        <v>45017</v>
      </c>
      <c r="S756" t="s">
        <v>35</v>
      </c>
      <c r="T756" s="1">
        <v>45078</v>
      </c>
      <c r="U756">
        <v>2023</v>
      </c>
    </row>
    <row r="757" spans="1:21" x14ac:dyDescent="0.3">
      <c r="A757" t="s">
        <v>867</v>
      </c>
      <c r="B757" t="s">
        <v>72</v>
      </c>
      <c r="C757" t="s">
        <v>47</v>
      </c>
      <c r="D757" t="s">
        <v>121</v>
      </c>
      <c r="E757" s="1">
        <v>45244</v>
      </c>
      <c r="F757" t="s">
        <v>40</v>
      </c>
      <c r="G757" t="s">
        <v>64</v>
      </c>
      <c r="H757">
        <v>9</v>
      </c>
      <c r="I757">
        <v>6623</v>
      </c>
      <c r="J757">
        <v>59607</v>
      </c>
      <c r="K757">
        <v>29673</v>
      </c>
      <c r="L757">
        <v>9329</v>
      </c>
      <c r="M757">
        <v>20605</v>
      </c>
      <c r="N757">
        <v>45</v>
      </c>
      <c r="O757" t="s">
        <v>34</v>
      </c>
      <c r="P757" t="s">
        <v>62</v>
      </c>
      <c r="Q757" s="1">
        <v>45242</v>
      </c>
      <c r="R757" s="1">
        <v>45200</v>
      </c>
      <c r="S757" t="s">
        <v>138</v>
      </c>
      <c r="T757" s="1">
        <v>45231</v>
      </c>
      <c r="U757">
        <v>2023</v>
      </c>
    </row>
    <row r="758" spans="1:21" x14ac:dyDescent="0.3">
      <c r="A758" t="s">
        <v>868</v>
      </c>
      <c r="B758" t="s">
        <v>37</v>
      </c>
      <c r="C758" t="s">
        <v>38</v>
      </c>
      <c r="D758" t="s">
        <v>145</v>
      </c>
      <c r="E758" s="1">
        <v>45138</v>
      </c>
      <c r="F758" t="s">
        <v>25</v>
      </c>
      <c r="G758" t="s">
        <v>26</v>
      </c>
      <c r="H758">
        <v>10</v>
      </c>
      <c r="I758">
        <v>31652</v>
      </c>
      <c r="J758">
        <v>316520</v>
      </c>
      <c r="K758">
        <v>133925</v>
      </c>
      <c r="L758">
        <v>34849</v>
      </c>
      <c r="M758">
        <v>147746</v>
      </c>
      <c r="N758">
        <v>13</v>
      </c>
      <c r="O758" t="s">
        <v>27</v>
      </c>
      <c r="P758" t="s">
        <v>51</v>
      </c>
      <c r="Q758" s="1">
        <v>45137</v>
      </c>
      <c r="R758" s="1">
        <v>45108</v>
      </c>
      <c r="S758" t="s">
        <v>29</v>
      </c>
      <c r="T758" s="1">
        <v>45108</v>
      </c>
      <c r="U758">
        <v>2023</v>
      </c>
    </row>
    <row r="759" spans="1:21" x14ac:dyDescent="0.3">
      <c r="A759" t="s">
        <v>869</v>
      </c>
      <c r="B759" t="s">
        <v>72</v>
      </c>
      <c r="C759" t="s">
        <v>47</v>
      </c>
      <c r="D759" t="s">
        <v>190</v>
      </c>
      <c r="E759" s="1">
        <v>44982</v>
      </c>
      <c r="F759" t="s">
        <v>40</v>
      </c>
      <c r="G759" t="s">
        <v>26</v>
      </c>
      <c r="H759">
        <v>8</v>
      </c>
      <c r="I759">
        <v>67203</v>
      </c>
      <c r="J759">
        <v>537624</v>
      </c>
      <c r="K759">
        <v>228440</v>
      </c>
      <c r="L759">
        <v>75486</v>
      </c>
      <c r="M759">
        <v>233698</v>
      </c>
      <c r="N759">
        <v>12</v>
      </c>
      <c r="O759" t="s">
        <v>42</v>
      </c>
      <c r="P759" t="s">
        <v>67</v>
      </c>
      <c r="Q759" s="1">
        <v>44976</v>
      </c>
      <c r="R759" s="1">
        <v>44927</v>
      </c>
      <c r="S759" t="s">
        <v>85</v>
      </c>
      <c r="T759" s="1">
        <v>44958</v>
      </c>
      <c r="U759">
        <v>2023</v>
      </c>
    </row>
    <row r="760" spans="1:21" x14ac:dyDescent="0.3">
      <c r="A760" t="s">
        <v>870</v>
      </c>
      <c r="B760" t="s">
        <v>22</v>
      </c>
      <c r="C760" t="s">
        <v>23</v>
      </c>
      <c r="D760" t="s">
        <v>114</v>
      </c>
      <c r="E760" s="1">
        <v>44996</v>
      </c>
      <c r="F760" t="s">
        <v>40</v>
      </c>
      <c r="G760" t="s">
        <v>98</v>
      </c>
      <c r="H760">
        <v>10</v>
      </c>
      <c r="I760">
        <v>31555</v>
      </c>
      <c r="J760">
        <v>315550</v>
      </c>
      <c r="K760">
        <v>125022</v>
      </c>
      <c r="L760">
        <v>48537</v>
      </c>
      <c r="M760">
        <v>141991</v>
      </c>
      <c r="N760">
        <v>15</v>
      </c>
      <c r="O760" t="s">
        <v>27</v>
      </c>
      <c r="P760" t="s">
        <v>67</v>
      </c>
      <c r="Q760" s="1">
        <v>44990</v>
      </c>
      <c r="R760" s="1">
        <v>44927</v>
      </c>
      <c r="S760" t="s">
        <v>44</v>
      </c>
      <c r="T760" s="1">
        <v>44986</v>
      </c>
      <c r="U760">
        <v>2023</v>
      </c>
    </row>
    <row r="761" spans="1:21" x14ac:dyDescent="0.3">
      <c r="A761" t="s">
        <v>871</v>
      </c>
      <c r="B761" t="s">
        <v>72</v>
      </c>
      <c r="C761" t="s">
        <v>47</v>
      </c>
      <c r="D761" t="s">
        <v>123</v>
      </c>
      <c r="E761" s="1">
        <v>44997</v>
      </c>
      <c r="F761" t="s">
        <v>57</v>
      </c>
      <c r="G761" t="s">
        <v>81</v>
      </c>
      <c r="H761">
        <v>2</v>
      </c>
      <c r="I761">
        <v>39246</v>
      </c>
      <c r="J761">
        <v>78492</v>
      </c>
      <c r="K761">
        <v>33881</v>
      </c>
      <c r="L761">
        <v>15073</v>
      </c>
      <c r="M761">
        <v>29538</v>
      </c>
      <c r="N761">
        <v>14</v>
      </c>
      <c r="O761" t="s">
        <v>27</v>
      </c>
      <c r="P761" t="s">
        <v>28</v>
      </c>
      <c r="Q761" s="1">
        <v>44997</v>
      </c>
      <c r="R761" s="1">
        <v>44927</v>
      </c>
      <c r="S761" t="s">
        <v>44</v>
      </c>
      <c r="T761" s="1">
        <v>44986</v>
      </c>
      <c r="U761">
        <v>2023</v>
      </c>
    </row>
    <row r="762" spans="1:21" x14ac:dyDescent="0.3">
      <c r="A762" t="s">
        <v>872</v>
      </c>
      <c r="B762" t="s">
        <v>37</v>
      </c>
      <c r="C762" t="s">
        <v>38</v>
      </c>
      <c r="D762" t="s">
        <v>219</v>
      </c>
      <c r="E762" s="1">
        <v>45167</v>
      </c>
      <c r="F762" t="s">
        <v>40</v>
      </c>
      <c r="G762" t="s">
        <v>58</v>
      </c>
      <c r="H762">
        <v>6</v>
      </c>
      <c r="I762">
        <v>24200</v>
      </c>
      <c r="J762">
        <v>145200</v>
      </c>
      <c r="K762">
        <v>67768</v>
      </c>
      <c r="L762">
        <v>18434</v>
      </c>
      <c r="M762">
        <v>58998</v>
      </c>
      <c r="N762">
        <v>43</v>
      </c>
      <c r="O762" t="s">
        <v>61</v>
      </c>
      <c r="P762" t="s">
        <v>62</v>
      </c>
      <c r="Q762" s="1">
        <v>45165</v>
      </c>
      <c r="R762" s="1">
        <v>45108</v>
      </c>
      <c r="S762" t="s">
        <v>92</v>
      </c>
      <c r="T762" s="1">
        <v>45139</v>
      </c>
      <c r="U762">
        <v>2023</v>
      </c>
    </row>
    <row r="763" spans="1:21" x14ac:dyDescent="0.3">
      <c r="A763" t="s">
        <v>873</v>
      </c>
      <c r="B763" t="s">
        <v>31</v>
      </c>
      <c r="C763" t="s">
        <v>23</v>
      </c>
      <c r="D763" t="s">
        <v>24</v>
      </c>
      <c r="E763" s="1">
        <v>45077</v>
      </c>
      <c r="F763" t="s">
        <v>57</v>
      </c>
      <c r="G763" t="s">
        <v>58</v>
      </c>
      <c r="H763">
        <v>8</v>
      </c>
      <c r="I763">
        <v>51534</v>
      </c>
      <c r="J763">
        <v>412272</v>
      </c>
      <c r="K763">
        <v>163283</v>
      </c>
      <c r="L763">
        <v>62588</v>
      </c>
      <c r="M763">
        <v>186401</v>
      </c>
      <c r="N763">
        <v>15</v>
      </c>
      <c r="O763" t="s">
        <v>61</v>
      </c>
      <c r="P763" t="s">
        <v>43</v>
      </c>
      <c r="Q763" s="1">
        <v>45074</v>
      </c>
      <c r="R763" s="1">
        <v>45017</v>
      </c>
      <c r="S763" t="s">
        <v>68</v>
      </c>
      <c r="T763" s="1">
        <v>45047</v>
      </c>
      <c r="U763">
        <v>2023</v>
      </c>
    </row>
    <row r="764" spans="1:21" x14ac:dyDescent="0.3">
      <c r="A764" t="s">
        <v>874</v>
      </c>
      <c r="B764" t="s">
        <v>72</v>
      </c>
      <c r="C764" t="s">
        <v>47</v>
      </c>
      <c r="D764" t="s">
        <v>73</v>
      </c>
      <c r="E764" s="1">
        <v>45127</v>
      </c>
      <c r="F764" t="s">
        <v>49</v>
      </c>
      <c r="G764" t="s">
        <v>98</v>
      </c>
      <c r="H764">
        <v>1</v>
      </c>
      <c r="I764">
        <v>66974</v>
      </c>
      <c r="J764">
        <v>66974</v>
      </c>
      <c r="K764">
        <v>30195</v>
      </c>
      <c r="L764">
        <v>11131</v>
      </c>
      <c r="M764">
        <v>25648</v>
      </c>
      <c r="N764">
        <v>26</v>
      </c>
      <c r="O764" t="s">
        <v>27</v>
      </c>
      <c r="P764" t="s">
        <v>84</v>
      </c>
      <c r="Q764" s="1">
        <v>45123</v>
      </c>
      <c r="R764" s="1">
        <v>45108</v>
      </c>
      <c r="S764" t="s">
        <v>29</v>
      </c>
      <c r="T764" s="1">
        <v>45108</v>
      </c>
      <c r="U764">
        <v>2023</v>
      </c>
    </row>
    <row r="765" spans="1:21" x14ac:dyDescent="0.3">
      <c r="A765" t="s">
        <v>875</v>
      </c>
      <c r="B765" t="s">
        <v>22</v>
      </c>
      <c r="C765" t="s">
        <v>23</v>
      </c>
      <c r="D765" t="s">
        <v>24</v>
      </c>
      <c r="E765" s="1">
        <v>45008</v>
      </c>
      <c r="F765" t="s">
        <v>49</v>
      </c>
      <c r="G765" t="s">
        <v>58</v>
      </c>
      <c r="H765">
        <v>1</v>
      </c>
      <c r="I765">
        <v>49513</v>
      </c>
      <c r="J765">
        <v>49513</v>
      </c>
      <c r="K765">
        <v>21127</v>
      </c>
      <c r="L765">
        <v>9150</v>
      </c>
      <c r="M765">
        <v>19236</v>
      </c>
      <c r="N765">
        <v>13</v>
      </c>
      <c r="O765" t="s">
        <v>61</v>
      </c>
      <c r="P765" t="s">
        <v>84</v>
      </c>
      <c r="Q765" s="1">
        <v>45004</v>
      </c>
      <c r="R765" s="1">
        <v>44927</v>
      </c>
      <c r="S765" t="s">
        <v>44</v>
      </c>
      <c r="T765" s="1">
        <v>44986</v>
      </c>
      <c r="U765">
        <v>2023</v>
      </c>
    </row>
    <row r="766" spans="1:21" x14ac:dyDescent="0.3">
      <c r="A766" t="s">
        <v>876</v>
      </c>
      <c r="B766" t="s">
        <v>37</v>
      </c>
      <c r="C766" t="s">
        <v>38</v>
      </c>
      <c r="D766" t="s">
        <v>163</v>
      </c>
      <c r="E766" s="1">
        <v>45239</v>
      </c>
      <c r="F766" t="s">
        <v>25</v>
      </c>
      <c r="G766" t="s">
        <v>98</v>
      </c>
      <c r="H766">
        <v>6</v>
      </c>
      <c r="I766">
        <v>61046</v>
      </c>
      <c r="J766">
        <v>366276</v>
      </c>
      <c r="K766">
        <v>193297</v>
      </c>
      <c r="L766">
        <v>63664</v>
      </c>
      <c r="M766">
        <v>109315</v>
      </c>
      <c r="N766">
        <v>12</v>
      </c>
      <c r="O766" t="s">
        <v>50</v>
      </c>
      <c r="P766" t="s">
        <v>84</v>
      </c>
      <c r="Q766" s="1">
        <v>45235</v>
      </c>
      <c r="R766" s="1">
        <v>45200</v>
      </c>
      <c r="S766" t="s">
        <v>138</v>
      </c>
      <c r="T766" s="1">
        <v>45231</v>
      </c>
      <c r="U766">
        <v>2023</v>
      </c>
    </row>
    <row r="767" spans="1:21" x14ac:dyDescent="0.3">
      <c r="A767" t="s">
        <v>877</v>
      </c>
      <c r="B767" t="s">
        <v>22</v>
      </c>
      <c r="C767" t="s">
        <v>23</v>
      </c>
      <c r="D767" t="s">
        <v>121</v>
      </c>
      <c r="E767" s="1">
        <v>44980</v>
      </c>
      <c r="F767" t="s">
        <v>25</v>
      </c>
      <c r="G767" t="s">
        <v>33</v>
      </c>
      <c r="H767">
        <v>8</v>
      </c>
      <c r="I767">
        <v>5186</v>
      </c>
      <c r="J767">
        <v>41488</v>
      </c>
      <c r="K767">
        <v>24756</v>
      </c>
      <c r="L767">
        <v>5334</v>
      </c>
      <c r="M767">
        <v>11398</v>
      </c>
      <c r="N767">
        <v>13</v>
      </c>
      <c r="O767" t="s">
        <v>61</v>
      </c>
      <c r="P767" t="s">
        <v>84</v>
      </c>
      <c r="Q767" s="1">
        <v>44976</v>
      </c>
      <c r="R767" s="1">
        <v>44927</v>
      </c>
      <c r="S767" t="s">
        <v>85</v>
      </c>
      <c r="T767" s="1">
        <v>44958</v>
      </c>
      <c r="U767">
        <v>2023</v>
      </c>
    </row>
    <row r="768" spans="1:21" x14ac:dyDescent="0.3">
      <c r="A768" t="s">
        <v>878</v>
      </c>
      <c r="B768" t="s">
        <v>37</v>
      </c>
      <c r="C768" t="s">
        <v>38</v>
      </c>
      <c r="D768" t="s">
        <v>114</v>
      </c>
      <c r="E768" s="1">
        <v>44993</v>
      </c>
      <c r="F768" t="s">
        <v>49</v>
      </c>
      <c r="G768" t="s">
        <v>41</v>
      </c>
      <c r="H768">
        <v>6</v>
      </c>
      <c r="I768">
        <v>4949</v>
      </c>
      <c r="J768">
        <v>29694</v>
      </c>
      <c r="K768">
        <v>14156</v>
      </c>
      <c r="L768">
        <v>4027</v>
      </c>
      <c r="M768">
        <v>11511</v>
      </c>
      <c r="N768">
        <v>18</v>
      </c>
      <c r="O768" t="s">
        <v>61</v>
      </c>
      <c r="P768" t="s">
        <v>43</v>
      </c>
      <c r="Q768" s="1">
        <v>44990</v>
      </c>
      <c r="R768" s="1">
        <v>44927</v>
      </c>
      <c r="S768" t="s">
        <v>44</v>
      </c>
      <c r="T768" s="1">
        <v>44986</v>
      </c>
      <c r="U768">
        <v>2023</v>
      </c>
    </row>
    <row r="769" spans="1:21" x14ac:dyDescent="0.3">
      <c r="A769" t="s">
        <v>879</v>
      </c>
      <c r="B769" t="s">
        <v>46</v>
      </c>
      <c r="C769" t="s">
        <v>47</v>
      </c>
      <c r="D769" t="s">
        <v>111</v>
      </c>
      <c r="E769" s="1">
        <v>45186</v>
      </c>
      <c r="F769" t="s">
        <v>49</v>
      </c>
      <c r="G769" t="s">
        <v>26</v>
      </c>
      <c r="H769">
        <v>2</v>
      </c>
      <c r="I769">
        <v>64015</v>
      </c>
      <c r="J769">
        <v>128030</v>
      </c>
      <c r="K769">
        <v>51901</v>
      </c>
      <c r="L769">
        <v>16225</v>
      </c>
      <c r="M769">
        <v>59904</v>
      </c>
      <c r="N769">
        <v>19</v>
      </c>
      <c r="O769" t="s">
        <v>50</v>
      </c>
      <c r="P769" t="s">
        <v>28</v>
      </c>
      <c r="Q769" s="1">
        <v>45186</v>
      </c>
      <c r="R769" s="1">
        <v>45108</v>
      </c>
      <c r="S769" t="s">
        <v>104</v>
      </c>
      <c r="T769" s="1">
        <v>45170</v>
      </c>
      <c r="U769">
        <v>2023</v>
      </c>
    </row>
    <row r="770" spans="1:21" x14ac:dyDescent="0.3">
      <c r="A770" t="s">
        <v>880</v>
      </c>
      <c r="B770" t="s">
        <v>46</v>
      </c>
      <c r="C770" t="s">
        <v>47</v>
      </c>
      <c r="D770" t="s">
        <v>54</v>
      </c>
      <c r="E770" s="1">
        <v>45241</v>
      </c>
      <c r="F770" t="s">
        <v>49</v>
      </c>
      <c r="G770" t="s">
        <v>33</v>
      </c>
      <c r="H770">
        <v>6</v>
      </c>
      <c r="I770">
        <v>64265</v>
      </c>
      <c r="J770">
        <v>385590</v>
      </c>
      <c r="K770">
        <v>140134</v>
      </c>
      <c r="L770">
        <v>47401</v>
      </c>
      <c r="M770">
        <v>198055</v>
      </c>
      <c r="N770">
        <v>18</v>
      </c>
      <c r="O770" t="s">
        <v>27</v>
      </c>
      <c r="P770" t="s">
        <v>67</v>
      </c>
      <c r="Q770" s="1">
        <v>45235</v>
      </c>
      <c r="R770" s="1">
        <v>45200</v>
      </c>
      <c r="S770" t="s">
        <v>138</v>
      </c>
      <c r="T770" s="1">
        <v>45231</v>
      </c>
      <c r="U770">
        <v>2023</v>
      </c>
    </row>
    <row r="771" spans="1:21" x14ac:dyDescent="0.3">
      <c r="A771" t="s">
        <v>881</v>
      </c>
      <c r="B771" t="s">
        <v>72</v>
      </c>
      <c r="C771" t="s">
        <v>47</v>
      </c>
      <c r="D771" t="s">
        <v>54</v>
      </c>
      <c r="E771" s="1">
        <v>45009</v>
      </c>
      <c r="F771" t="s">
        <v>40</v>
      </c>
      <c r="G771" t="s">
        <v>26</v>
      </c>
      <c r="H771">
        <v>10</v>
      </c>
      <c r="I771">
        <v>35636</v>
      </c>
      <c r="J771">
        <v>356360</v>
      </c>
      <c r="K771">
        <v>190419</v>
      </c>
      <c r="L771">
        <v>57217</v>
      </c>
      <c r="M771">
        <v>108724</v>
      </c>
      <c r="N771">
        <v>22</v>
      </c>
      <c r="O771" t="s">
        <v>34</v>
      </c>
      <c r="P771" t="s">
        <v>99</v>
      </c>
      <c r="Q771" s="1">
        <v>45004</v>
      </c>
      <c r="R771" s="1">
        <v>44927</v>
      </c>
      <c r="S771" t="s">
        <v>44</v>
      </c>
      <c r="T771" s="1">
        <v>44986</v>
      </c>
      <c r="U771">
        <v>2023</v>
      </c>
    </row>
    <row r="772" spans="1:21" x14ac:dyDescent="0.3">
      <c r="A772" t="s">
        <v>882</v>
      </c>
      <c r="B772" t="s">
        <v>46</v>
      </c>
      <c r="C772" t="s">
        <v>47</v>
      </c>
      <c r="D772" t="s">
        <v>135</v>
      </c>
      <c r="E772" s="1">
        <v>45227</v>
      </c>
      <c r="F772" t="s">
        <v>49</v>
      </c>
      <c r="G772" t="s">
        <v>64</v>
      </c>
      <c r="H772">
        <v>10</v>
      </c>
      <c r="I772">
        <v>32587</v>
      </c>
      <c r="J772">
        <v>325870</v>
      </c>
      <c r="K772">
        <v>141467</v>
      </c>
      <c r="L772">
        <v>54298</v>
      </c>
      <c r="M772">
        <v>130105</v>
      </c>
      <c r="N772">
        <v>32</v>
      </c>
      <c r="O772" t="s">
        <v>61</v>
      </c>
      <c r="P772" t="s">
        <v>67</v>
      </c>
      <c r="Q772" s="1">
        <v>45221</v>
      </c>
      <c r="R772" s="1">
        <v>45200</v>
      </c>
      <c r="S772" t="s">
        <v>52</v>
      </c>
      <c r="T772" s="1">
        <v>45200</v>
      </c>
      <c r="U772">
        <v>2023</v>
      </c>
    </row>
    <row r="773" spans="1:21" x14ac:dyDescent="0.3">
      <c r="A773" t="s">
        <v>883</v>
      </c>
      <c r="B773" t="s">
        <v>22</v>
      </c>
      <c r="C773" t="s">
        <v>23</v>
      </c>
      <c r="D773" t="s">
        <v>174</v>
      </c>
      <c r="E773" s="1">
        <v>45103</v>
      </c>
      <c r="F773" t="s">
        <v>40</v>
      </c>
      <c r="G773" t="s">
        <v>26</v>
      </c>
      <c r="H773">
        <v>1</v>
      </c>
      <c r="I773">
        <v>48736</v>
      </c>
      <c r="J773">
        <v>48736</v>
      </c>
      <c r="K773">
        <v>21364</v>
      </c>
      <c r="L773">
        <v>8211</v>
      </c>
      <c r="M773">
        <v>19161</v>
      </c>
      <c r="N773">
        <v>33</v>
      </c>
      <c r="O773" t="s">
        <v>42</v>
      </c>
      <c r="P773" t="s">
        <v>51</v>
      </c>
      <c r="Q773" s="1">
        <v>45102</v>
      </c>
      <c r="R773" s="1">
        <v>45017</v>
      </c>
      <c r="S773" t="s">
        <v>35</v>
      </c>
      <c r="T773" s="1">
        <v>45078</v>
      </c>
      <c r="U773">
        <v>2023</v>
      </c>
    </row>
    <row r="774" spans="1:21" x14ac:dyDescent="0.3">
      <c r="A774" t="s">
        <v>884</v>
      </c>
      <c r="B774" t="s">
        <v>31</v>
      </c>
      <c r="C774" t="s">
        <v>23</v>
      </c>
      <c r="D774" t="s">
        <v>66</v>
      </c>
      <c r="E774" s="1">
        <v>45168</v>
      </c>
      <c r="F774" t="s">
        <v>40</v>
      </c>
      <c r="G774" t="s">
        <v>26</v>
      </c>
      <c r="H774">
        <v>3</v>
      </c>
      <c r="I774">
        <v>43193</v>
      </c>
      <c r="J774">
        <v>129579</v>
      </c>
      <c r="K774">
        <v>41973</v>
      </c>
      <c r="L774">
        <v>15186</v>
      </c>
      <c r="M774">
        <v>72420</v>
      </c>
      <c r="N774">
        <v>38</v>
      </c>
      <c r="O774" t="s">
        <v>61</v>
      </c>
      <c r="P774" t="s">
        <v>43</v>
      </c>
      <c r="Q774" s="1">
        <v>45165</v>
      </c>
      <c r="R774" s="1">
        <v>45108</v>
      </c>
      <c r="S774" t="s">
        <v>92</v>
      </c>
      <c r="T774" s="1">
        <v>45139</v>
      </c>
      <c r="U774">
        <v>2023</v>
      </c>
    </row>
    <row r="775" spans="1:21" x14ac:dyDescent="0.3">
      <c r="A775" t="s">
        <v>885</v>
      </c>
      <c r="B775" t="s">
        <v>37</v>
      </c>
      <c r="C775" t="s">
        <v>38</v>
      </c>
      <c r="D775" t="s">
        <v>54</v>
      </c>
      <c r="E775" s="1">
        <v>45217</v>
      </c>
      <c r="F775" t="s">
        <v>57</v>
      </c>
      <c r="G775" t="s">
        <v>64</v>
      </c>
      <c r="H775">
        <v>5</v>
      </c>
      <c r="I775">
        <v>2877</v>
      </c>
      <c r="J775">
        <v>14385</v>
      </c>
      <c r="K775">
        <v>5175</v>
      </c>
      <c r="L775">
        <v>2442</v>
      </c>
      <c r="M775">
        <v>6768</v>
      </c>
      <c r="N775">
        <v>44</v>
      </c>
      <c r="O775" t="s">
        <v>61</v>
      </c>
      <c r="P775" t="s">
        <v>43</v>
      </c>
      <c r="Q775" s="1">
        <v>45214</v>
      </c>
      <c r="R775" s="1">
        <v>45200</v>
      </c>
      <c r="S775" t="s">
        <v>52</v>
      </c>
      <c r="T775" s="1">
        <v>45200</v>
      </c>
      <c r="U775">
        <v>2023</v>
      </c>
    </row>
    <row r="776" spans="1:21" x14ac:dyDescent="0.3">
      <c r="A776" t="s">
        <v>886</v>
      </c>
      <c r="B776" t="s">
        <v>46</v>
      </c>
      <c r="C776" t="s">
        <v>47</v>
      </c>
      <c r="D776" t="s">
        <v>176</v>
      </c>
      <c r="E776" s="1">
        <v>45150</v>
      </c>
      <c r="F776" t="s">
        <v>40</v>
      </c>
      <c r="G776" t="s">
        <v>41</v>
      </c>
      <c r="H776">
        <v>5</v>
      </c>
      <c r="I776">
        <v>34563</v>
      </c>
      <c r="J776">
        <v>172815</v>
      </c>
      <c r="K776">
        <v>68068</v>
      </c>
      <c r="L776">
        <v>28589</v>
      </c>
      <c r="M776">
        <v>76158</v>
      </c>
      <c r="N776">
        <v>41</v>
      </c>
      <c r="O776" t="s">
        <v>34</v>
      </c>
      <c r="P776" t="s">
        <v>67</v>
      </c>
      <c r="Q776" s="1">
        <v>45144</v>
      </c>
      <c r="R776" s="1">
        <v>45108</v>
      </c>
      <c r="S776" t="s">
        <v>92</v>
      </c>
      <c r="T776" s="1">
        <v>45139</v>
      </c>
      <c r="U776">
        <v>2023</v>
      </c>
    </row>
    <row r="777" spans="1:21" x14ac:dyDescent="0.3">
      <c r="A777" t="s">
        <v>887</v>
      </c>
      <c r="B777" t="s">
        <v>22</v>
      </c>
      <c r="C777" t="s">
        <v>23</v>
      </c>
      <c r="D777" t="s">
        <v>101</v>
      </c>
      <c r="E777" s="1">
        <v>45079</v>
      </c>
      <c r="F777" t="s">
        <v>40</v>
      </c>
      <c r="G777" t="s">
        <v>33</v>
      </c>
      <c r="H777">
        <v>7</v>
      </c>
      <c r="I777">
        <v>58657</v>
      </c>
      <c r="J777">
        <v>410599</v>
      </c>
      <c r="K777">
        <v>217950</v>
      </c>
      <c r="L777">
        <v>72399</v>
      </c>
      <c r="M777">
        <v>120250</v>
      </c>
      <c r="N777">
        <v>43</v>
      </c>
      <c r="O777" t="s">
        <v>50</v>
      </c>
      <c r="P777" t="s">
        <v>99</v>
      </c>
      <c r="Q777" s="1">
        <v>45074</v>
      </c>
      <c r="R777" s="1">
        <v>45017</v>
      </c>
      <c r="S777" t="s">
        <v>35</v>
      </c>
      <c r="T777" s="1">
        <v>45078</v>
      </c>
      <c r="U777">
        <v>2023</v>
      </c>
    </row>
    <row r="778" spans="1:21" x14ac:dyDescent="0.3">
      <c r="A778" t="s">
        <v>888</v>
      </c>
      <c r="B778" t="s">
        <v>31</v>
      </c>
      <c r="C778" t="s">
        <v>23</v>
      </c>
      <c r="D778" t="s">
        <v>188</v>
      </c>
      <c r="E778" s="1">
        <v>45089</v>
      </c>
      <c r="F778" t="s">
        <v>25</v>
      </c>
      <c r="G778" t="s">
        <v>58</v>
      </c>
      <c r="H778">
        <v>3</v>
      </c>
      <c r="I778">
        <v>22379</v>
      </c>
      <c r="J778">
        <v>67137</v>
      </c>
      <c r="K778">
        <v>29963</v>
      </c>
      <c r="L778">
        <v>8995</v>
      </c>
      <c r="M778">
        <v>28179</v>
      </c>
      <c r="N778">
        <v>13</v>
      </c>
      <c r="O778" t="s">
        <v>50</v>
      </c>
      <c r="P778" t="s">
        <v>51</v>
      </c>
      <c r="Q778" s="1">
        <v>45088</v>
      </c>
      <c r="R778" s="1">
        <v>45017</v>
      </c>
      <c r="S778" t="s">
        <v>35</v>
      </c>
      <c r="T778" s="1">
        <v>45078</v>
      </c>
      <c r="U778">
        <v>2023</v>
      </c>
    </row>
    <row r="779" spans="1:21" x14ac:dyDescent="0.3">
      <c r="A779" t="s">
        <v>889</v>
      </c>
      <c r="B779" t="s">
        <v>22</v>
      </c>
      <c r="C779" t="s">
        <v>23</v>
      </c>
      <c r="D779" t="s">
        <v>209</v>
      </c>
      <c r="E779" s="1">
        <v>45050</v>
      </c>
      <c r="F779" t="s">
        <v>49</v>
      </c>
      <c r="G779" t="s">
        <v>81</v>
      </c>
      <c r="H779">
        <v>1</v>
      </c>
      <c r="I779">
        <v>27329</v>
      </c>
      <c r="J779">
        <v>27329</v>
      </c>
      <c r="K779">
        <v>14307</v>
      </c>
      <c r="L779">
        <v>3877</v>
      </c>
      <c r="M779">
        <v>9145</v>
      </c>
      <c r="N779">
        <v>1</v>
      </c>
      <c r="O779" t="s">
        <v>42</v>
      </c>
      <c r="P779" t="s">
        <v>84</v>
      </c>
      <c r="Q779" s="1">
        <v>45046</v>
      </c>
      <c r="R779" s="1">
        <v>45017</v>
      </c>
      <c r="S779" t="s">
        <v>68</v>
      </c>
      <c r="T779" s="1">
        <v>45047</v>
      </c>
      <c r="U779">
        <v>2023</v>
      </c>
    </row>
    <row r="780" spans="1:21" x14ac:dyDescent="0.3">
      <c r="A780" t="s">
        <v>890</v>
      </c>
      <c r="B780" t="s">
        <v>46</v>
      </c>
      <c r="C780" t="s">
        <v>47</v>
      </c>
      <c r="D780" t="s">
        <v>121</v>
      </c>
      <c r="E780" s="1">
        <v>45210</v>
      </c>
      <c r="F780" t="s">
        <v>25</v>
      </c>
      <c r="G780" t="s">
        <v>81</v>
      </c>
      <c r="H780">
        <v>3</v>
      </c>
      <c r="I780">
        <v>27040</v>
      </c>
      <c r="J780">
        <v>81120</v>
      </c>
      <c r="K780">
        <v>44488</v>
      </c>
      <c r="L780">
        <v>11040</v>
      </c>
      <c r="M780">
        <v>25592</v>
      </c>
      <c r="N780">
        <v>24</v>
      </c>
      <c r="O780" t="s">
        <v>50</v>
      </c>
      <c r="P780" t="s">
        <v>43</v>
      </c>
      <c r="Q780" s="1">
        <v>45207</v>
      </c>
      <c r="R780" s="1">
        <v>45200</v>
      </c>
      <c r="S780" t="s">
        <v>52</v>
      </c>
      <c r="T780" s="1">
        <v>45200</v>
      </c>
      <c r="U780">
        <v>2023</v>
      </c>
    </row>
    <row r="781" spans="1:21" x14ac:dyDescent="0.3">
      <c r="A781" t="s">
        <v>891</v>
      </c>
      <c r="B781" t="s">
        <v>37</v>
      </c>
      <c r="C781" t="s">
        <v>38</v>
      </c>
      <c r="D781" t="s">
        <v>114</v>
      </c>
      <c r="E781" s="1">
        <v>45204</v>
      </c>
      <c r="F781" t="s">
        <v>57</v>
      </c>
      <c r="G781" t="s">
        <v>64</v>
      </c>
      <c r="H781">
        <v>4</v>
      </c>
      <c r="I781">
        <v>28939</v>
      </c>
      <c r="J781">
        <v>115756</v>
      </c>
      <c r="K781">
        <v>68010</v>
      </c>
      <c r="L781">
        <v>19232</v>
      </c>
      <c r="M781">
        <v>28514</v>
      </c>
      <c r="N781">
        <v>46</v>
      </c>
      <c r="O781" t="s">
        <v>34</v>
      </c>
      <c r="P781" t="s">
        <v>84</v>
      </c>
      <c r="Q781" s="1">
        <v>45200</v>
      </c>
      <c r="R781" s="1">
        <v>45200</v>
      </c>
      <c r="S781" t="s">
        <v>52</v>
      </c>
      <c r="T781" s="1">
        <v>45200</v>
      </c>
      <c r="U781">
        <v>2023</v>
      </c>
    </row>
    <row r="782" spans="1:21" x14ac:dyDescent="0.3">
      <c r="A782" t="s">
        <v>892</v>
      </c>
      <c r="B782" t="s">
        <v>22</v>
      </c>
      <c r="C782" t="s">
        <v>23</v>
      </c>
      <c r="D782" t="s">
        <v>221</v>
      </c>
      <c r="E782" s="1">
        <v>45185</v>
      </c>
      <c r="F782" t="s">
        <v>57</v>
      </c>
      <c r="G782" t="s">
        <v>81</v>
      </c>
      <c r="H782">
        <v>9</v>
      </c>
      <c r="I782">
        <v>64236</v>
      </c>
      <c r="J782">
        <v>578124</v>
      </c>
      <c r="K782">
        <v>177030</v>
      </c>
      <c r="L782">
        <v>77175</v>
      </c>
      <c r="M782">
        <v>323919</v>
      </c>
      <c r="N782">
        <v>16</v>
      </c>
      <c r="O782" t="s">
        <v>61</v>
      </c>
      <c r="P782" t="s">
        <v>67</v>
      </c>
      <c r="Q782" s="1">
        <v>45179</v>
      </c>
      <c r="R782" s="1">
        <v>45108</v>
      </c>
      <c r="S782" t="s">
        <v>104</v>
      </c>
      <c r="T782" s="1">
        <v>45170</v>
      </c>
      <c r="U782">
        <v>2023</v>
      </c>
    </row>
    <row r="783" spans="1:21" x14ac:dyDescent="0.3">
      <c r="A783" t="s">
        <v>893</v>
      </c>
      <c r="B783" t="s">
        <v>72</v>
      </c>
      <c r="C783" t="s">
        <v>47</v>
      </c>
      <c r="D783" t="s">
        <v>133</v>
      </c>
      <c r="E783" s="1">
        <v>44958</v>
      </c>
      <c r="F783" t="s">
        <v>40</v>
      </c>
      <c r="G783" t="s">
        <v>41</v>
      </c>
      <c r="H783">
        <v>1</v>
      </c>
      <c r="I783">
        <v>52386</v>
      </c>
      <c r="J783">
        <v>52386</v>
      </c>
      <c r="K783">
        <v>17427</v>
      </c>
      <c r="L783">
        <v>6501</v>
      </c>
      <c r="M783">
        <v>28458</v>
      </c>
      <c r="N783">
        <v>24</v>
      </c>
      <c r="O783" t="s">
        <v>50</v>
      </c>
      <c r="P783" t="s">
        <v>43</v>
      </c>
      <c r="Q783" s="1">
        <v>44955</v>
      </c>
      <c r="R783" s="1">
        <v>44927</v>
      </c>
      <c r="S783" t="s">
        <v>85</v>
      </c>
      <c r="T783" s="1">
        <v>44958</v>
      </c>
      <c r="U783">
        <v>2023</v>
      </c>
    </row>
    <row r="784" spans="1:21" x14ac:dyDescent="0.3">
      <c r="A784" t="s">
        <v>894</v>
      </c>
      <c r="B784" t="s">
        <v>31</v>
      </c>
      <c r="C784" t="s">
        <v>23</v>
      </c>
      <c r="D784" t="s">
        <v>54</v>
      </c>
      <c r="E784" s="1">
        <v>45096</v>
      </c>
      <c r="F784" t="s">
        <v>57</v>
      </c>
      <c r="G784" t="s">
        <v>41</v>
      </c>
      <c r="H784">
        <v>3</v>
      </c>
      <c r="I784">
        <v>55349</v>
      </c>
      <c r="J784">
        <v>166047</v>
      </c>
      <c r="K784">
        <v>89553</v>
      </c>
      <c r="L784">
        <v>28396</v>
      </c>
      <c r="M784">
        <v>48098</v>
      </c>
      <c r="N784">
        <v>47</v>
      </c>
      <c r="O784" t="s">
        <v>42</v>
      </c>
      <c r="P784" t="s">
        <v>51</v>
      </c>
      <c r="Q784" s="1">
        <v>45095</v>
      </c>
      <c r="R784" s="1">
        <v>45017</v>
      </c>
      <c r="S784" t="s">
        <v>35</v>
      </c>
      <c r="T784" s="1">
        <v>45078</v>
      </c>
      <c r="U784">
        <v>2023</v>
      </c>
    </row>
    <row r="785" spans="1:21" x14ac:dyDescent="0.3">
      <c r="A785" t="s">
        <v>895</v>
      </c>
      <c r="B785" t="s">
        <v>22</v>
      </c>
      <c r="C785" t="s">
        <v>23</v>
      </c>
      <c r="D785" t="s">
        <v>54</v>
      </c>
      <c r="E785" s="1">
        <v>45247</v>
      </c>
      <c r="F785" t="s">
        <v>25</v>
      </c>
      <c r="G785" t="s">
        <v>81</v>
      </c>
      <c r="H785">
        <v>3</v>
      </c>
      <c r="I785">
        <v>65457</v>
      </c>
      <c r="J785">
        <v>196371</v>
      </c>
      <c r="K785">
        <v>101752</v>
      </c>
      <c r="L785">
        <v>39259</v>
      </c>
      <c r="M785">
        <v>55360</v>
      </c>
      <c r="N785">
        <v>37</v>
      </c>
      <c r="O785" t="s">
        <v>27</v>
      </c>
      <c r="P785" t="s">
        <v>99</v>
      </c>
      <c r="Q785" s="1">
        <v>45242</v>
      </c>
      <c r="R785" s="1">
        <v>45200</v>
      </c>
      <c r="S785" t="s">
        <v>138</v>
      </c>
      <c r="T785" s="1">
        <v>45231</v>
      </c>
      <c r="U785">
        <v>2023</v>
      </c>
    </row>
    <row r="786" spans="1:21" x14ac:dyDescent="0.3">
      <c r="A786" t="s">
        <v>896</v>
      </c>
      <c r="B786" t="s">
        <v>31</v>
      </c>
      <c r="C786" t="s">
        <v>23</v>
      </c>
      <c r="D786" t="s">
        <v>80</v>
      </c>
      <c r="E786" s="1">
        <v>45211</v>
      </c>
      <c r="F786" t="s">
        <v>40</v>
      </c>
      <c r="G786" t="s">
        <v>64</v>
      </c>
      <c r="H786">
        <v>8</v>
      </c>
      <c r="I786">
        <v>45461</v>
      </c>
      <c r="J786">
        <v>363688</v>
      </c>
      <c r="K786">
        <v>198087</v>
      </c>
      <c r="L786">
        <v>72098</v>
      </c>
      <c r="M786">
        <v>93503</v>
      </c>
      <c r="N786">
        <v>38</v>
      </c>
      <c r="O786" t="s">
        <v>27</v>
      </c>
      <c r="P786" t="s">
        <v>84</v>
      </c>
      <c r="Q786" s="1">
        <v>45207</v>
      </c>
      <c r="R786" s="1">
        <v>45200</v>
      </c>
      <c r="S786" t="s">
        <v>52</v>
      </c>
      <c r="T786" s="1">
        <v>45200</v>
      </c>
      <c r="U786">
        <v>2023</v>
      </c>
    </row>
    <row r="787" spans="1:21" x14ac:dyDescent="0.3">
      <c r="A787" t="s">
        <v>897</v>
      </c>
      <c r="B787" t="s">
        <v>37</v>
      </c>
      <c r="C787" t="s">
        <v>38</v>
      </c>
      <c r="D787" t="s">
        <v>163</v>
      </c>
      <c r="E787" s="1">
        <v>44948</v>
      </c>
      <c r="F787" t="s">
        <v>49</v>
      </c>
      <c r="G787" t="s">
        <v>58</v>
      </c>
      <c r="H787">
        <v>9</v>
      </c>
      <c r="I787">
        <v>61785</v>
      </c>
      <c r="J787">
        <v>556065</v>
      </c>
      <c r="K787">
        <v>304464</v>
      </c>
      <c r="L787">
        <v>79131</v>
      </c>
      <c r="M787">
        <v>172470</v>
      </c>
      <c r="N787">
        <v>27</v>
      </c>
      <c r="O787" t="s">
        <v>27</v>
      </c>
      <c r="P787" t="s">
        <v>28</v>
      </c>
      <c r="Q787" s="1">
        <v>44948</v>
      </c>
      <c r="R787" s="1">
        <v>44927</v>
      </c>
      <c r="S787" t="s">
        <v>95</v>
      </c>
      <c r="T787" s="1">
        <v>44927</v>
      </c>
      <c r="U787">
        <v>2023</v>
      </c>
    </row>
    <row r="788" spans="1:21" x14ac:dyDescent="0.3">
      <c r="A788" t="s">
        <v>898</v>
      </c>
      <c r="B788" t="s">
        <v>37</v>
      </c>
      <c r="C788" t="s">
        <v>38</v>
      </c>
      <c r="D788" t="s">
        <v>196</v>
      </c>
      <c r="E788" s="1">
        <v>45186</v>
      </c>
      <c r="F788" t="s">
        <v>49</v>
      </c>
      <c r="G788" t="s">
        <v>41</v>
      </c>
      <c r="H788">
        <v>5</v>
      </c>
      <c r="I788">
        <v>26621</v>
      </c>
      <c r="J788">
        <v>133105</v>
      </c>
      <c r="K788">
        <v>40578</v>
      </c>
      <c r="L788">
        <v>21734</v>
      </c>
      <c r="M788">
        <v>70793</v>
      </c>
      <c r="N788">
        <v>45</v>
      </c>
      <c r="O788" t="s">
        <v>34</v>
      </c>
      <c r="P788" t="s">
        <v>28</v>
      </c>
      <c r="Q788" s="1">
        <v>45186</v>
      </c>
      <c r="R788" s="1">
        <v>45108</v>
      </c>
      <c r="S788" t="s">
        <v>104</v>
      </c>
      <c r="T788" s="1">
        <v>45170</v>
      </c>
      <c r="U788">
        <v>2023</v>
      </c>
    </row>
    <row r="789" spans="1:21" x14ac:dyDescent="0.3">
      <c r="A789" t="s">
        <v>899</v>
      </c>
      <c r="B789" t="s">
        <v>22</v>
      </c>
      <c r="C789" t="s">
        <v>23</v>
      </c>
      <c r="D789" t="s">
        <v>125</v>
      </c>
      <c r="E789" s="1">
        <v>45211</v>
      </c>
      <c r="F789" t="s">
        <v>49</v>
      </c>
      <c r="G789" t="s">
        <v>26</v>
      </c>
      <c r="H789">
        <v>4</v>
      </c>
      <c r="I789">
        <v>15486</v>
      </c>
      <c r="J789">
        <v>61944</v>
      </c>
      <c r="K789">
        <v>20315</v>
      </c>
      <c r="L789">
        <v>9248</v>
      </c>
      <c r="M789">
        <v>32381</v>
      </c>
      <c r="N789">
        <v>40</v>
      </c>
      <c r="O789" t="s">
        <v>50</v>
      </c>
      <c r="P789" t="s">
        <v>84</v>
      </c>
      <c r="Q789" s="1">
        <v>45207</v>
      </c>
      <c r="R789" s="1">
        <v>45200</v>
      </c>
      <c r="S789" t="s">
        <v>52</v>
      </c>
      <c r="T789" s="1">
        <v>45200</v>
      </c>
      <c r="U789">
        <v>2023</v>
      </c>
    </row>
    <row r="790" spans="1:21" x14ac:dyDescent="0.3">
      <c r="A790" t="s">
        <v>900</v>
      </c>
      <c r="B790" t="s">
        <v>37</v>
      </c>
      <c r="C790" t="s">
        <v>38</v>
      </c>
      <c r="D790" t="s">
        <v>56</v>
      </c>
      <c r="E790" s="1">
        <v>45054</v>
      </c>
      <c r="F790" t="s">
        <v>25</v>
      </c>
      <c r="G790" t="s">
        <v>64</v>
      </c>
      <c r="H790">
        <v>1</v>
      </c>
      <c r="I790">
        <v>53313</v>
      </c>
      <c r="J790">
        <v>53313</v>
      </c>
      <c r="K790">
        <v>17851</v>
      </c>
      <c r="L790">
        <v>8597</v>
      </c>
      <c r="M790">
        <v>26865</v>
      </c>
      <c r="N790">
        <v>40</v>
      </c>
      <c r="O790" t="s">
        <v>50</v>
      </c>
      <c r="P790" t="s">
        <v>51</v>
      </c>
      <c r="Q790" s="1">
        <v>45053</v>
      </c>
      <c r="R790" s="1">
        <v>45017</v>
      </c>
      <c r="S790" t="s">
        <v>68</v>
      </c>
      <c r="T790" s="1">
        <v>45047</v>
      </c>
      <c r="U790">
        <v>2023</v>
      </c>
    </row>
    <row r="791" spans="1:21" x14ac:dyDescent="0.3">
      <c r="A791" t="s">
        <v>901</v>
      </c>
      <c r="B791" t="s">
        <v>46</v>
      </c>
      <c r="C791" t="s">
        <v>47</v>
      </c>
      <c r="D791" t="s">
        <v>97</v>
      </c>
      <c r="E791" s="1">
        <v>44931</v>
      </c>
      <c r="F791" t="s">
        <v>57</v>
      </c>
      <c r="G791" t="s">
        <v>98</v>
      </c>
      <c r="H791">
        <v>10</v>
      </c>
      <c r="I791">
        <v>35351</v>
      </c>
      <c r="J791">
        <v>353510</v>
      </c>
      <c r="K791">
        <v>114613</v>
      </c>
      <c r="L791">
        <v>52947</v>
      </c>
      <c r="M791">
        <v>185950</v>
      </c>
      <c r="N791">
        <v>42</v>
      </c>
      <c r="O791" t="s">
        <v>27</v>
      </c>
      <c r="P791" t="s">
        <v>84</v>
      </c>
      <c r="Q791" s="1">
        <v>44927</v>
      </c>
      <c r="R791" s="1">
        <v>44927</v>
      </c>
      <c r="S791" t="s">
        <v>95</v>
      </c>
      <c r="T791" s="1">
        <v>44927</v>
      </c>
      <c r="U791">
        <v>2023</v>
      </c>
    </row>
    <row r="792" spans="1:21" x14ac:dyDescent="0.3">
      <c r="A792" t="s">
        <v>902</v>
      </c>
      <c r="B792" t="s">
        <v>22</v>
      </c>
      <c r="C792" t="s">
        <v>23</v>
      </c>
      <c r="D792" t="s">
        <v>91</v>
      </c>
      <c r="E792" s="1">
        <v>45206</v>
      </c>
      <c r="F792" t="s">
        <v>25</v>
      </c>
      <c r="G792" t="s">
        <v>26</v>
      </c>
      <c r="H792">
        <v>1</v>
      </c>
      <c r="I792">
        <v>57811</v>
      </c>
      <c r="J792">
        <v>57811</v>
      </c>
      <c r="K792">
        <v>19681</v>
      </c>
      <c r="L792">
        <v>6775</v>
      </c>
      <c r="M792">
        <v>31355</v>
      </c>
      <c r="N792">
        <v>24</v>
      </c>
      <c r="O792" t="s">
        <v>50</v>
      </c>
      <c r="P792" t="s">
        <v>67</v>
      </c>
      <c r="Q792" s="1">
        <v>45200</v>
      </c>
      <c r="R792" s="1">
        <v>45200</v>
      </c>
      <c r="S792" t="s">
        <v>52</v>
      </c>
      <c r="T792" s="1">
        <v>45200</v>
      </c>
      <c r="U792">
        <v>2023</v>
      </c>
    </row>
    <row r="793" spans="1:21" x14ac:dyDescent="0.3">
      <c r="A793" t="s">
        <v>903</v>
      </c>
      <c r="B793" t="s">
        <v>37</v>
      </c>
      <c r="C793" t="s">
        <v>38</v>
      </c>
      <c r="D793" t="s">
        <v>48</v>
      </c>
      <c r="E793" s="1">
        <v>44995</v>
      </c>
      <c r="F793" t="s">
        <v>25</v>
      </c>
      <c r="G793" t="s">
        <v>58</v>
      </c>
      <c r="H793">
        <v>4</v>
      </c>
      <c r="I793">
        <v>24707</v>
      </c>
      <c r="J793">
        <v>98828</v>
      </c>
      <c r="K793">
        <v>53225</v>
      </c>
      <c r="L793">
        <v>15664</v>
      </c>
      <c r="M793">
        <v>29939</v>
      </c>
      <c r="N793">
        <v>1</v>
      </c>
      <c r="O793" t="s">
        <v>34</v>
      </c>
      <c r="P793" t="s">
        <v>99</v>
      </c>
      <c r="Q793" s="1">
        <v>44990</v>
      </c>
      <c r="R793" s="1">
        <v>44927</v>
      </c>
      <c r="S793" t="s">
        <v>44</v>
      </c>
      <c r="T793" s="1">
        <v>44986</v>
      </c>
      <c r="U793">
        <v>2023</v>
      </c>
    </row>
    <row r="794" spans="1:21" x14ac:dyDescent="0.3">
      <c r="A794" t="s">
        <v>904</v>
      </c>
      <c r="B794" t="s">
        <v>72</v>
      </c>
      <c r="C794" t="s">
        <v>47</v>
      </c>
      <c r="D794" t="s">
        <v>205</v>
      </c>
      <c r="E794" s="1">
        <v>45179</v>
      </c>
      <c r="F794" t="s">
        <v>49</v>
      </c>
      <c r="G794" t="s">
        <v>41</v>
      </c>
      <c r="H794">
        <v>6</v>
      </c>
      <c r="I794">
        <v>48640</v>
      </c>
      <c r="J794">
        <v>291840</v>
      </c>
      <c r="K794">
        <v>144235</v>
      </c>
      <c r="L794">
        <v>44174</v>
      </c>
      <c r="M794">
        <v>103431</v>
      </c>
      <c r="N794">
        <v>41</v>
      </c>
      <c r="O794" t="s">
        <v>27</v>
      </c>
      <c r="P794" t="s">
        <v>28</v>
      </c>
      <c r="Q794" s="1">
        <v>45179</v>
      </c>
      <c r="R794" s="1">
        <v>45108</v>
      </c>
      <c r="S794" t="s">
        <v>104</v>
      </c>
      <c r="T794" s="1">
        <v>45170</v>
      </c>
      <c r="U794">
        <v>2023</v>
      </c>
    </row>
    <row r="795" spans="1:21" x14ac:dyDescent="0.3">
      <c r="A795" t="s">
        <v>905</v>
      </c>
      <c r="B795" t="s">
        <v>46</v>
      </c>
      <c r="C795" t="s">
        <v>47</v>
      </c>
      <c r="D795" t="s">
        <v>78</v>
      </c>
      <c r="E795" s="1">
        <v>45194</v>
      </c>
      <c r="F795" t="s">
        <v>49</v>
      </c>
      <c r="G795" t="s">
        <v>41</v>
      </c>
      <c r="H795">
        <v>7</v>
      </c>
      <c r="I795">
        <v>14517</v>
      </c>
      <c r="J795">
        <v>101619</v>
      </c>
      <c r="K795">
        <v>48056</v>
      </c>
      <c r="L795">
        <v>15697</v>
      </c>
      <c r="M795">
        <v>37866</v>
      </c>
      <c r="N795">
        <v>42</v>
      </c>
      <c r="O795" t="s">
        <v>50</v>
      </c>
      <c r="P795" t="s">
        <v>51</v>
      </c>
      <c r="Q795" s="1">
        <v>45193</v>
      </c>
      <c r="R795" s="1">
        <v>45108</v>
      </c>
      <c r="S795" t="s">
        <v>104</v>
      </c>
      <c r="T795" s="1">
        <v>45170</v>
      </c>
      <c r="U795">
        <v>2023</v>
      </c>
    </row>
    <row r="796" spans="1:21" x14ac:dyDescent="0.3">
      <c r="A796" t="s">
        <v>906</v>
      </c>
      <c r="B796" t="s">
        <v>72</v>
      </c>
      <c r="C796" t="s">
        <v>47</v>
      </c>
      <c r="D796" t="s">
        <v>205</v>
      </c>
      <c r="E796" s="1">
        <v>45154</v>
      </c>
      <c r="F796" t="s">
        <v>57</v>
      </c>
      <c r="G796" t="s">
        <v>81</v>
      </c>
      <c r="H796">
        <v>3</v>
      </c>
      <c r="I796">
        <v>56334</v>
      </c>
      <c r="J796">
        <v>169002</v>
      </c>
      <c r="K796">
        <v>70221</v>
      </c>
      <c r="L796">
        <v>32882</v>
      </c>
      <c r="M796">
        <v>65899</v>
      </c>
      <c r="N796">
        <v>15</v>
      </c>
      <c r="O796" t="s">
        <v>61</v>
      </c>
      <c r="P796" t="s">
        <v>43</v>
      </c>
      <c r="Q796" s="1">
        <v>45151</v>
      </c>
      <c r="R796" s="1">
        <v>45108</v>
      </c>
      <c r="S796" t="s">
        <v>92</v>
      </c>
      <c r="T796" s="1">
        <v>45139</v>
      </c>
      <c r="U796">
        <v>2023</v>
      </c>
    </row>
    <row r="797" spans="1:21" x14ac:dyDescent="0.3">
      <c r="A797" t="s">
        <v>907</v>
      </c>
      <c r="B797" t="s">
        <v>31</v>
      </c>
      <c r="C797" t="s">
        <v>23</v>
      </c>
      <c r="D797" t="s">
        <v>106</v>
      </c>
      <c r="E797" s="1">
        <v>44968</v>
      </c>
      <c r="F797" t="s">
        <v>57</v>
      </c>
      <c r="G797" t="s">
        <v>26</v>
      </c>
      <c r="H797">
        <v>9</v>
      </c>
      <c r="I797">
        <v>11565</v>
      </c>
      <c r="J797">
        <v>104085</v>
      </c>
      <c r="K797">
        <v>34509</v>
      </c>
      <c r="L797">
        <v>11601</v>
      </c>
      <c r="M797">
        <v>57975</v>
      </c>
      <c r="N797">
        <v>33</v>
      </c>
      <c r="O797" t="s">
        <v>27</v>
      </c>
      <c r="P797" t="s">
        <v>67</v>
      </c>
      <c r="Q797" s="1">
        <v>44962</v>
      </c>
      <c r="R797" s="1">
        <v>44927</v>
      </c>
      <c r="S797" t="s">
        <v>85</v>
      </c>
      <c r="T797" s="1">
        <v>44958</v>
      </c>
      <c r="U797">
        <v>2023</v>
      </c>
    </row>
    <row r="798" spans="1:21" x14ac:dyDescent="0.3">
      <c r="A798" t="s">
        <v>908</v>
      </c>
      <c r="B798" t="s">
        <v>31</v>
      </c>
      <c r="C798" t="s">
        <v>23</v>
      </c>
      <c r="D798" t="s">
        <v>196</v>
      </c>
      <c r="E798" s="1">
        <v>45117</v>
      </c>
      <c r="F798" t="s">
        <v>40</v>
      </c>
      <c r="G798" t="s">
        <v>33</v>
      </c>
      <c r="H798">
        <v>7</v>
      </c>
      <c r="I798">
        <v>54220</v>
      </c>
      <c r="J798">
        <v>379540</v>
      </c>
      <c r="K798">
        <v>178017</v>
      </c>
      <c r="L798">
        <v>67603</v>
      </c>
      <c r="M798">
        <v>133920</v>
      </c>
      <c r="N798">
        <v>2</v>
      </c>
      <c r="O798" t="s">
        <v>50</v>
      </c>
      <c r="P798" t="s">
        <v>51</v>
      </c>
      <c r="Q798" s="1">
        <v>45116</v>
      </c>
      <c r="R798" s="1">
        <v>45108</v>
      </c>
      <c r="S798" t="s">
        <v>29</v>
      </c>
      <c r="T798" s="1">
        <v>45108</v>
      </c>
      <c r="U798">
        <v>2023</v>
      </c>
    </row>
    <row r="799" spans="1:21" x14ac:dyDescent="0.3">
      <c r="A799" t="s">
        <v>909</v>
      </c>
      <c r="B799" t="s">
        <v>37</v>
      </c>
      <c r="C799" t="s">
        <v>38</v>
      </c>
      <c r="D799" t="s">
        <v>121</v>
      </c>
      <c r="E799" s="1">
        <v>45167</v>
      </c>
      <c r="F799" t="s">
        <v>49</v>
      </c>
      <c r="G799" t="s">
        <v>41</v>
      </c>
      <c r="H799">
        <v>7</v>
      </c>
      <c r="I799">
        <v>56854</v>
      </c>
      <c r="J799">
        <v>397978</v>
      </c>
      <c r="K799">
        <v>143159</v>
      </c>
      <c r="L799">
        <v>58081</v>
      </c>
      <c r="M799">
        <v>196738</v>
      </c>
      <c r="N799">
        <v>30</v>
      </c>
      <c r="O799" t="s">
        <v>50</v>
      </c>
      <c r="P799" t="s">
        <v>62</v>
      </c>
      <c r="Q799" s="1">
        <v>45165</v>
      </c>
      <c r="R799" s="1">
        <v>45108</v>
      </c>
      <c r="S799" t="s">
        <v>92</v>
      </c>
      <c r="T799" s="1">
        <v>45139</v>
      </c>
      <c r="U799">
        <v>2023</v>
      </c>
    </row>
    <row r="800" spans="1:21" x14ac:dyDescent="0.3">
      <c r="A800" t="s">
        <v>910</v>
      </c>
      <c r="B800" t="s">
        <v>46</v>
      </c>
      <c r="C800" t="s">
        <v>47</v>
      </c>
      <c r="D800" t="s">
        <v>152</v>
      </c>
      <c r="E800" s="1">
        <v>45228</v>
      </c>
      <c r="F800" t="s">
        <v>40</v>
      </c>
      <c r="G800" t="s">
        <v>64</v>
      </c>
      <c r="H800">
        <v>4</v>
      </c>
      <c r="I800">
        <v>18710</v>
      </c>
      <c r="J800">
        <v>74840</v>
      </c>
      <c r="K800">
        <v>32557</v>
      </c>
      <c r="L800">
        <v>10761</v>
      </c>
      <c r="M800">
        <v>31522</v>
      </c>
      <c r="N800">
        <v>5</v>
      </c>
      <c r="O800" t="s">
        <v>34</v>
      </c>
      <c r="P800" t="s">
        <v>28</v>
      </c>
      <c r="Q800" s="1">
        <v>45228</v>
      </c>
      <c r="R800" s="1">
        <v>45200</v>
      </c>
      <c r="S800" t="s">
        <v>52</v>
      </c>
      <c r="T800" s="1">
        <v>45200</v>
      </c>
      <c r="U800">
        <v>2023</v>
      </c>
    </row>
    <row r="801" spans="1:21" x14ac:dyDescent="0.3">
      <c r="A801" t="s">
        <v>911</v>
      </c>
      <c r="B801" t="s">
        <v>31</v>
      </c>
      <c r="C801" t="s">
        <v>23</v>
      </c>
      <c r="D801" t="s">
        <v>83</v>
      </c>
      <c r="E801" s="1">
        <v>45118</v>
      </c>
      <c r="F801" t="s">
        <v>40</v>
      </c>
      <c r="G801" t="s">
        <v>41</v>
      </c>
      <c r="H801">
        <v>7</v>
      </c>
      <c r="I801">
        <v>63306</v>
      </c>
      <c r="J801">
        <v>443142</v>
      </c>
      <c r="K801">
        <v>264891</v>
      </c>
      <c r="L801">
        <v>70389</v>
      </c>
      <c r="M801">
        <v>107862</v>
      </c>
      <c r="N801">
        <v>37</v>
      </c>
      <c r="O801" t="s">
        <v>42</v>
      </c>
      <c r="P801" t="s">
        <v>62</v>
      </c>
      <c r="Q801" s="1">
        <v>45116</v>
      </c>
      <c r="R801" s="1">
        <v>45108</v>
      </c>
      <c r="S801" t="s">
        <v>29</v>
      </c>
      <c r="T801" s="1">
        <v>45108</v>
      </c>
      <c r="U801">
        <v>2023</v>
      </c>
    </row>
    <row r="802" spans="1:21" x14ac:dyDescent="0.3">
      <c r="A802" t="s">
        <v>912</v>
      </c>
      <c r="B802" t="s">
        <v>22</v>
      </c>
      <c r="C802" t="s">
        <v>23</v>
      </c>
      <c r="D802" t="s">
        <v>135</v>
      </c>
      <c r="E802" s="1">
        <v>45034</v>
      </c>
      <c r="F802" t="s">
        <v>40</v>
      </c>
      <c r="G802" t="s">
        <v>26</v>
      </c>
      <c r="H802">
        <v>9</v>
      </c>
      <c r="I802">
        <v>40484</v>
      </c>
      <c r="J802">
        <v>364356</v>
      </c>
      <c r="K802">
        <v>176755</v>
      </c>
      <c r="L802">
        <v>55567</v>
      </c>
      <c r="M802">
        <v>132034</v>
      </c>
      <c r="N802">
        <v>29</v>
      </c>
      <c r="O802" t="s">
        <v>42</v>
      </c>
      <c r="P802" t="s">
        <v>62</v>
      </c>
      <c r="Q802" s="1">
        <v>45032</v>
      </c>
      <c r="R802" s="1">
        <v>45017</v>
      </c>
      <c r="S802" t="s">
        <v>74</v>
      </c>
      <c r="T802" s="1">
        <v>45017</v>
      </c>
      <c r="U802">
        <v>2023</v>
      </c>
    </row>
    <row r="803" spans="1:21" x14ac:dyDescent="0.3">
      <c r="A803" t="s">
        <v>913</v>
      </c>
      <c r="B803" t="s">
        <v>31</v>
      </c>
      <c r="C803" t="s">
        <v>23</v>
      </c>
      <c r="D803" t="s">
        <v>66</v>
      </c>
      <c r="E803" s="1">
        <v>45072</v>
      </c>
      <c r="F803" t="s">
        <v>49</v>
      </c>
      <c r="G803" t="s">
        <v>98</v>
      </c>
      <c r="H803">
        <v>9</v>
      </c>
      <c r="I803">
        <v>39096</v>
      </c>
      <c r="J803">
        <v>351864</v>
      </c>
      <c r="K803">
        <v>153162</v>
      </c>
      <c r="L803">
        <v>65944</v>
      </c>
      <c r="M803">
        <v>132758</v>
      </c>
      <c r="N803">
        <v>38</v>
      </c>
      <c r="O803" t="s">
        <v>27</v>
      </c>
      <c r="P803" t="s">
        <v>99</v>
      </c>
      <c r="Q803" s="1">
        <v>45067</v>
      </c>
      <c r="R803" s="1">
        <v>45017</v>
      </c>
      <c r="S803" t="s">
        <v>68</v>
      </c>
      <c r="T803" s="1">
        <v>45047</v>
      </c>
      <c r="U803">
        <v>2023</v>
      </c>
    </row>
    <row r="804" spans="1:21" x14ac:dyDescent="0.3">
      <c r="A804" t="s">
        <v>914</v>
      </c>
      <c r="B804" t="s">
        <v>37</v>
      </c>
      <c r="C804" t="s">
        <v>38</v>
      </c>
      <c r="D804" t="s">
        <v>301</v>
      </c>
      <c r="E804" s="1">
        <v>44947</v>
      </c>
      <c r="F804" t="s">
        <v>57</v>
      </c>
      <c r="G804" t="s">
        <v>33</v>
      </c>
      <c r="H804">
        <v>1</v>
      </c>
      <c r="I804">
        <v>51497</v>
      </c>
      <c r="J804">
        <v>51497</v>
      </c>
      <c r="K804">
        <v>23731</v>
      </c>
      <c r="L804">
        <v>10095</v>
      </c>
      <c r="M804">
        <v>17671</v>
      </c>
      <c r="N804">
        <v>11</v>
      </c>
      <c r="O804" t="s">
        <v>61</v>
      </c>
      <c r="P804" t="s">
        <v>67</v>
      </c>
      <c r="Q804" s="1">
        <v>44941</v>
      </c>
      <c r="R804" s="1">
        <v>44927</v>
      </c>
      <c r="S804" t="s">
        <v>95</v>
      </c>
      <c r="T804" s="1">
        <v>44927</v>
      </c>
      <c r="U804">
        <v>2023</v>
      </c>
    </row>
    <row r="805" spans="1:21" x14ac:dyDescent="0.3">
      <c r="A805" t="s">
        <v>915</v>
      </c>
      <c r="B805" t="s">
        <v>37</v>
      </c>
      <c r="C805" t="s">
        <v>38</v>
      </c>
      <c r="D805" t="s">
        <v>125</v>
      </c>
      <c r="E805" s="1">
        <v>44967</v>
      </c>
      <c r="F805" t="s">
        <v>49</v>
      </c>
      <c r="G805" t="s">
        <v>33</v>
      </c>
      <c r="H805">
        <v>7</v>
      </c>
      <c r="I805">
        <v>2999</v>
      </c>
      <c r="J805">
        <v>20993</v>
      </c>
      <c r="K805">
        <v>8462</v>
      </c>
      <c r="L805">
        <v>2260</v>
      </c>
      <c r="M805">
        <v>10271</v>
      </c>
      <c r="N805">
        <v>28</v>
      </c>
      <c r="O805" t="s">
        <v>50</v>
      </c>
      <c r="P805" t="s">
        <v>99</v>
      </c>
      <c r="Q805" s="1">
        <v>44962</v>
      </c>
      <c r="R805" s="1">
        <v>44927</v>
      </c>
      <c r="S805" t="s">
        <v>85</v>
      </c>
      <c r="T805" s="1">
        <v>44958</v>
      </c>
      <c r="U805">
        <v>2023</v>
      </c>
    </row>
    <row r="806" spans="1:21" x14ac:dyDescent="0.3">
      <c r="A806" t="s">
        <v>916</v>
      </c>
      <c r="B806" t="s">
        <v>72</v>
      </c>
      <c r="C806" t="s">
        <v>47</v>
      </c>
      <c r="D806" t="s">
        <v>66</v>
      </c>
      <c r="E806" s="1">
        <v>45081</v>
      </c>
      <c r="F806" t="s">
        <v>57</v>
      </c>
      <c r="G806" t="s">
        <v>98</v>
      </c>
      <c r="H806">
        <v>7</v>
      </c>
      <c r="I806">
        <v>57082</v>
      </c>
      <c r="J806">
        <v>399574</v>
      </c>
      <c r="K806">
        <v>123287</v>
      </c>
      <c r="L806">
        <v>78945</v>
      </c>
      <c r="M806">
        <v>197342</v>
      </c>
      <c r="N806">
        <v>14</v>
      </c>
      <c r="O806" t="s">
        <v>61</v>
      </c>
      <c r="P806" t="s">
        <v>28</v>
      </c>
      <c r="Q806" s="1">
        <v>45081</v>
      </c>
      <c r="R806" s="1">
        <v>45017</v>
      </c>
      <c r="S806" t="s">
        <v>35</v>
      </c>
      <c r="T806" s="1">
        <v>45078</v>
      </c>
      <c r="U806">
        <v>2023</v>
      </c>
    </row>
    <row r="807" spans="1:21" x14ac:dyDescent="0.3">
      <c r="A807" t="s">
        <v>917</v>
      </c>
      <c r="B807" t="s">
        <v>46</v>
      </c>
      <c r="C807" t="s">
        <v>47</v>
      </c>
      <c r="D807" t="s">
        <v>174</v>
      </c>
      <c r="E807" s="1">
        <v>45190</v>
      </c>
      <c r="F807" t="s">
        <v>49</v>
      </c>
      <c r="G807" t="s">
        <v>33</v>
      </c>
      <c r="H807">
        <v>2</v>
      </c>
      <c r="I807">
        <v>45470</v>
      </c>
      <c r="J807">
        <v>90940</v>
      </c>
      <c r="K807">
        <v>46132</v>
      </c>
      <c r="L807">
        <v>14659</v>
      </c>
      <c r="M807">
        <v>30149</v>
      </c>
      <c r="N807">
        <v>15</v>
      </c>
      <c r="O807" t="s">
        <v>34</v>
      </c>
      <c r="P807" t="s">
        <v>84</v>
      </c>
      <c r="Q807" s="1">
        <v>45186</v>
      </c>
      <c r="R807" s="1">
        <v>45108</v>
      </c>
      <c r="S807" t="s">
        <v>104</v>
      </c>
      <c r="T807" s="1">
        <v>45170</v>
      </c>
      <c r="U807">
        <v>2023</v>
      </c>
    </row>
    <row r="808" spans="1:21" x14ac:dyDescent="0.3">
      <c r="A808" t="s">
        <v>918</v>
      </c>
      <c r="B808" t="s">
        <v>72</v>
      </c>
      <c r="C808" t="s">
        <v>47</v>
      </c>
      <c r="D808" t="s">
        <v>83</v>
      </c>
      <c r="E808" s="1">
        <v>44962</v>
      </c>
      <c r="F808" t="s">
        <v>25</v>
      </c>
      <c r="G808" t="s">
        <v>41</v>
      </c>
      <c r="H808">
        <v>5</v>
      </c>
      <c r="I808">
        <v>45425</v>
      </c>
      <c r="J808">
        <v>227125</v>
      </c>
      <c r="K808">
        <v>93689</v>
      </c>
      <c r="L808">
        <v>43386</v>
      </c>
      <c r="M808">
        <v>90050</v>
      </c>
      <c r="N808">
        <v>47</v>
      </c>
      <c r="O808" t="s">
        <v>42</v>
      </c>
      <c r="P808" t="s">
        <v>28</v>
      </c>
      <c r="Q808" s="1">
        <v>44962</v>
      </c>
      <c r="R808" s="1">
        <v>44927</v>
      </c>
      <c r="S808" t="s">
        <v>85</v>
      </c>
      <c r="T808" s="1">
        <v>44958</v>
      </c>
      <c r="U808">
        <v>2023</v>
      </c>
    </row>
    <row r="809" spans="1:21" x14ac:dyDescent="0.3">
      <c r="A809" t="s">
        <v>919</v>
      </c>
      <c r="B809" t="s">
        <v>72</v>
      </c>
      <c r="C809" t="s">
        <v>47</v>
      </c>
      <c r="D809" t="s">
        <v>76</v>
      </c>
      <c r="E809" s="1">
        <v>45222</v>
      </c>
      <c r="F809" t="s">
        <v>25</v>
      </c>
      <c r="G809" t="s">
        <v>26</v>
      </c>
      <c r="H809">
        <v>1</v>
      </c>
      <c r="I809">
        <v>47284</v>
      </c>
      <c r="J809">
        <v>47284</v>
      </c>
      <c r="K809">
        <v>16368</v>
      </c>
      <c r="L809">
        <v>5113</v>
      </c>
      <c r="M809">
        <v>25803</v>
      </c>
      <c r="N809">
        <v>2</v>
      </c>
      <c r="O809" t="s">
        <v>42</v>
      </c>
      <c r="P809" t="s">
        <v>51</v>
      </c>
      <c r="Q809" s="1">
        <v>45221</v>
      </c>
      <c r="R809" s="1">
        <v>45200</v>
      </c>
      <c r="S809" t="s">
        <v>52</v>
      </c>
      <c r="T809" s="1">
        <v>45200</v>
      </c>
      <c r="U809">
        <v>2023</v>
      </c>
    </row>
    <row r="810" spans="1:21" x14ac:dyDescent="0.3">
      <c r="A810" t="s">
        <v>920</v>
      </c>
      <c r="B810" t="s">
        <v>46</v>
      </c>
      <c r="C810" t="s">
        <v>47</v>
      </c>
      <c r="D810" t="s">
        <v>108</v>
      </c>
      <c r="E810" s="1">
        <v>45042</v>
      </c>
      <c r="F810" t="s">
        <v>40</v>
      </c>
      <c r="G810" t="s">
        <v>41</v>
      </c>
      <c r="H810">
        <v>9</v>
      </c>
      <c r="I810">
        <v>34807</v>
      </c>
      <c r="J810">
        <v>313263</v>
      </c>
      <c r="K810">
        <v>99025</v>
      </c>
      <c r="L810">
        <v>55261</v>
      </c>
      <c r="M810">
        <v>158977</v>
      </c>
      <c r="N810">
        <v>23</v>
      </c>
      <c r="O810" t="s">
        <v>34</v>
      </c>
      <c r="P810" t="s">
        <v>43</v>
      </c>
      <c r="Q810" s="1">
        <v>45039</v>
      </c>
      <c r="R810" s="1">
        <v>45017</v>
      </c>
      <c r="S810" t="s">
        <v>74</v>
      </c>
      <c r="T810" s="1">
        <v>45017</v>
      </c>
      <c r="U810">
        <v>2023</v>
      </c>
    </row>
    <row r="811" spans="1:21" x14ac:dyDescent="0.3">
      <c r="A811" t="s">
        <v>921</v>
      </c>
      <c r="B811" t="s">
        <v>72</v>
      </c>
      <c r="C811" t="s">
        <v>47</v>
      </c>
      <c r="D811" t="s">
        <v>176</v>
      </c>
      <c r="E811" s="1">
        <v>45074</v>
      </c>
      <c r="F811" t="s">
        <v>49</v>
      </c>
      <c r="G811" t="s">
        <v>26</v>
      </c>
      <c r="H811">
        <v>2</v>
      </c>
      <c r="I811">
        <v>4662</v>
      </c>
      <c r="J811">
        <v>9324</v>
      </c>
      <c r="K811">
        <v>4888</v>
      </c>
      <c r="L811">
        <v>1697</v>
      </c>
      <c r="M811">
        <v>2739</v>
      </c>
      <c r="N811">
        <v>45</v>
      </c>
      <c r="O811" t="s">
        <v>27</v>
      </c>
      <c r="P811" t="s">
        <v>28</v>
      </c>
      <c r="Q811" s="1">
        <v>45074</v>
      </c>
      <c r="R811" s="1">
        <v>45017</v>
      </c>
      <c r="S811" t="s">
        <v>68</v>
      </c>
      <c r="T811" s="1">
        <v>45047</v>
      </c>
      <c r="U811">
        <v>2023</v>
      </c>
    </row>
    <row r="812" spans="1:21" x14ac:dyDescent="0.3">
      <c r="A812" t="s">
        <v>922</v>
      </c>
      <c r="B812" t="s">
        <v>46</v>
      </c>
      <c r="C812" t="s">
        <v>47</v>
      </c>
      <c r="D812" t="s">
        <v>188</v>
      </c>
      <c r="E812" s="1">
        <v>45003</v>
      </c>
      <c r="F812" t="s">
        <v>40</v>
      </c>
      <c r="G812" t="s">
        <v>41</v>
      </c>
      <c r="H812">
        <v>7</v>
      </c>
      <c r="I812">
        <v>41505</v>
      </c>
      <c r="J812">
        <v>290535</v>
      </c>
      <c r="K812">
        <v>151797</v>
      </c>
      <c r="L812">
        <v>55141</v>
      </c>
      <c r="M812">
        <v>83597</v>
      </c>
      <c r="N812">
        <v>23</v>
      </c>
      <c r="O812" t="s">
        <v>42</v>
      </c>
      <c r="P812" t="s">
        <v>67</v>
      </c>
      <c r="Q812" s="1">
        <v>44997</v>
      </c>
      <c r="R812" s="1">
        <v>44927</v>
      </c>
      <c r="S812" t="s">
        <v>44</v>
      </c>
      <c r="T812" s="1">
        <v>44986</v>
      </c>
      <c r="U812">
        <v>2023</v>
      </c>
    </row>
    <row r="813" spans="1:21" x14ac:dyDescent="0.3">
      <c r="A813" t="s">
        <v>923</v>
      </c>
      <c r="B813" t="s">
        <v>37</v>
      </c>
      <c r="C813" t="s">
        <v>38</v>
      </c>
      <c r="D813" t="s">
        <v>56</v>
      </c>
      <c r="E813" s="1">
        <v>45133</v>
      </c>
      <c r="F813" t="s">
        <v>25</v>
      </c>
      <c r="G813" t="s">
        <v>58</v>
      </c>
      <c r="H813">
        <v>5</v>
      </c>
      <c r="I813">
        <v>50154</v>
      </c>
      <c r="J813">
        <v>250770</v>
      </c>
      <c r="K813">
        <v>137343</v>
      </c>
      <c r="L813">
        <v>46217</v>
      </c>
      <c r="M813">
        <v>67210</v>
      </c>
      <c r="N813">
        <v>17</v>
      </c>
      <c r="O813" t="s">
        <v>61</v>
      </c>
      <c r="P813" t="s">
        <v>43</v>
      </c>
      <c r="Q813" s="1">
        <v>45130</v>
      </c>
      <c r="R813" s="1">
        <v>45108</v>
      </c>
      <c r="S813" t="s">
        <v>29</v>
      </c>
      <c r="T813" s="1">
        <v>45108</v>
      </c>
      <c r="U813">
        <v>2023</v>
      </c>
    </row>
    <row r="814" spans="1:21" x14ac:dyDescent="0.3">
      <c r="A814" t="s">
        <v>924</v>
      </c>
      <c r="B814" t="s">
        <v>46</v>
      </c>
      <c r="C814" t="s">
        <v>47</v>
      </c>
      <c r="D814" t="s">
        <v>190</v>
      </c>
      <c r="E814" s="1">
        <v>45005</v>
      </c>
      <c r="F814" t="s">
        <v>25</v>
      </c>
      <c r="G814" t="s">
        <v>81</v>
      </c>
      <c r="H814">
        <v>5</v>
      </c>
      <c r="I814">
        <v>64495</v>
      </c>
      <c r="J814">
        <v>322475</v>
      </c>
      <c r="K814">
        <v>192112</v>
      </c>
      <c r="L814">
        <v>50193</v>
      </c>
      <c r="M814">
        <v>80170</v>
      </c>
      <c r="N814">
        <v>0</v>
      </c>
      <c r="O814" t="s">
        <v>42</v>
      </c>
      <c r="P814" t="s">
        <v>51</v>
      </c>
      <c r="Q814" s="1">
        <v>45004</v>
      </c>
      <c r="R814" s="1">
        <v>44927</v>
      </c>
      <c r="S814" t="s">
        <v>44</v>
      </c>
      <c r="T814" s="1">
        <v>44986</v>
      </c>
      <c r="U814">
        <v>2023</v>
      </c>
    </row>
    <row r="815" spans="1:21" x14ac:dyDescent="0.3">
      <c r="A815" t="s">
        <v>925</v>
      </c>
      <c r="B815" t="s">
        <v>37</v>
      </c>
      <c r="C815" t="s">
        <v>38</v>
      </c>
      <c r="D815" t="s">
        <v>196</v>
      </c>
      <c r="E815" s="1">
        <v>44956</v>
      </c>
      <c r="F815" t="s">
        <v>57</v>
      </c>
      <c r="G815" t="s">
        <v>64</v>
      </c>
      <c r="H815">
        <v>5</v>
      </c>
      <c r="I815">
        <v>45896</v>
      </c>
      <c r="J815">
        <v>229480</v>
      </c>
      <c r="K815">
        <v>106136</v>
      </c>
      <c r="L815">
        <v>41136</v>
      </c>
      <c r="M815">
        <v>82208</v>
      </c>
      <c r="N815">
        <v>43</v>
      </c>
      <c r="O815" t="s">
        <v>50</v>
      </c>
      <c r="P815" t="s">
        <v>51</v>
      </c>
      <c r="Q815" s="1">
        <v>44955</v>
      </c>
      <c r="R815" s="1">
        <v>44927</v>
      </c>
      <c r="S815" t="s">
        <v>95</v>
      </c>
      <c r="T815" s="1">
        <v>44927</v>
      </c>
      <c r="U815">
        <v>2023</v>
      </c>
    </row>
    <row r="816" spans="1:21" x14ac:dyDescent="0.3">
      <c r="A816" t="s">
        <v>926</v>
      </c>
      <c r="B816" t="s">
        <v>31</v>
      </c>
      <c r="C816" t="s">
        <v>23</v>
      </c>
      <c r="D816" t="s">
        <v>78</v>
      </c>
      <c r="E816" s="1">
        <v>45109</v>
      </c>
      <c r="F816" t="s">
        <v>49</v>
      </c>
      <c r="G816" t="s">
        <v>58</v>
      </c>
      <c r="H816">
        <v>1</v>
      </c>
      <c r="I816">
        <v>64049</v>
      </c>
      <c r="J816">
        <v>64049</v>
      </c>
      <c r="K816">
        <v>33304</v>
      </c>
      <c r="L816">
        <v>9306</v>
      </c>
      <c r="M816">
        <v>21439</v>
      </c>
      <c r="N816">
        <v>44</v>
      </c>
      <c r="O816" t="s">
        <v>61</v>
      </c>
      <c r="P816" t="s">
        <v>28</v>
      </c>
      <c r="Q816" s="1">
        <v>45109</v>
      </c>
      <c r="R816" s="1">
        <v>45108</v>
      </c>
      <c r="S816" t="s">
        <v>29</v>
      </c>
      <c r="T816" s="1">
        <v>45108</v>
      </c>
      <c r="U816">
        <v>2023</v>
      </c>
    </row>
    <row r="817" spans="1:21" x14ac:dyDescent="0.3">
      <c r="A817" t="s">
        <v>927</v>
      </c>
      <c r="B817" t="s">
        <v>46</v>
      </c>
      <c r="C817" t="s">
        <v>47</v>
      </c>
      <c r="D817" t="s">
        <v>137</v>
      </c>
      <c r="E817" s="1">
        <v>45239</v>
      </c>
      <c r="F817" t="s">
        <v>57</v>
      </c>
      <c r="G817" t="s">
        <v>26</v>
      </c>
      <c r="H817">
        <v>9</v>
      </c>
      <c r="I817">
        <v>66156</v>
      </c>
      <c r="J817">
        <v>595404</v>
      </c>
      <c r="K817">
        <v>275073</v>
      </c>
      <c r="L817">
        <v>64713</v>
      </c>
      <c r="M817">
        <v>255618</v>
      </c>
      <c r="N817">
        <v>37</v>
      </c>
      <c r="O817" t="s">
        <v>42</v>
      </c>
      <c r="P817" t="s">
        <v>84</v>
      </c>
      <c r="Q817" s="1">
        <v>45235</v>
      </c>
      <c r="R817" s="1">
        <v>45200</v>
      </c>
      <c r="S817" t="s">
        <v>138</v>
      </c>
      <c r="T817" s="1">
        <v>45231</v>
      </c>
      <c r="U817">
        <v>2023</v>
      </c>
    </row>
    <row r="818" spans="1:21" x14ac:dyDescent="0.3">
      <c r="A818" t="s">
        <v>928</v>
      </c>
      <c r="B818" t="s">
        <v>72</v>
      </c>
      <c r="C818" t="s">
        <v>47</v>
      </c>
      <c r="D818" t="s">
        <v>73</v>
      </c>
      <c r="E818" s="1">
        <v>45139</v>
      </c>
      <c r="F818" t="s">
        <v>49</v>
      </c>
      <c r="G818" t="s">
        <v>26</v>
      </c>
      <c r="H818">
        <v>1</v>
      </c>
      <c r="I818">
        <v>69975</v>
      </c>
      <c r="J818">
        <v>69975</v>
      </c>
      <c r="K818">
        <v>21668</v>
      </c>
      <c r="L818">
        <v>13812</v>
      </c>
      <c r="M818">
        <v>34495</v>
      </c>
      <c r="N818">
        <v>23</v>
      </c>
      <c r="O818" t="s">
        <v>61</v>
      </c>
      <c r="P818" t="s">
        <v>62</v>
      </c>
      <c r="Q818" s="1">
        <v>45137</v>
      </c>
      <c r="R818" s="1">
        <v>45108</v>
      </c>
      <c r="S818" t="s">
        <v>92</v>
      </c>
      <c r="T818" s="1">
        <v>45139</v>
      </c>
      <c r="U818">
        <v>2023</v>
      </c>
    </row>
    <row r="819" spans="1:21" x14ac:dyDescent="0.3">
      <c r="A819" t="s">
        <v>929</v>
      </c>
      <c r="B819" t="s">
        <v>31</v>
      </c>
      <c r="C819" t="s">
        <v>23</v>
      </c>
      <c r="D819" t="s">
        <v>205</v>
      </c>
      <c r="E819" s="1">
        <v>45083</v>
      </c>
      <c r="F819" t="s">
        <v>49</v>
      </c>
      <c r="G819" t="s">
        <v>26</v>
      </c>
      <c r="H819">
        <v>3</v>
      </c>
      <c r="I819">
        <v>64289</v>
      </c>
      <c r="J819">
        <v>192867</v>
      </c>
      <c r="K819">
        <v>112692</v>
      </c>
      <c r="L819">
        <v>28599</v>
      </c>
      <c r="M819">
        <v>51576</v>
      </c>
      <c r="N819">
        <v>24</v>
      </c>
      <c r="O819" t="s">
        <v>61</v>
      </c>
      <c r="P819" t="s">
        <v>62</v>
      </c>
      <c r="Q819" s="1">
        <v>45081</v>
      </c>
      <c r="R819" s="1">
        <v>45017</v>
      </c>
      <c r="S819" t="s">
        <v>35</v>
      </c>
      <c r="T819" s="1">
        <v>45078</v>
      </c>
      <c r="U819">
        <v>2023</v>
      </c>
    </row>
    <row r="820" spans="1:21" x14ac:dyDescent="0.3">
      <c r="A820" t="s">
        <v>930</v>
      </c>
      <c r="B820" t="s">
        <v>31</v>
      </c>
      <c r="C820" t="s">
        <v>23</v>
      </c>
      <c r="D820" t="s">
        <v>66</v>
      </c>
      <c r="E820" s="1">
        <v>45084</v>
      </c>
      <c r="F820" t="s">
        <v>57</v>
      </c>
      <c r="G820" t="s">
        <v>81</v>
      </c>
      <c r="H820">
        <v>7</v>
      </c>
      <c r="I820">
        <v>47791</v>
      </c>
      <c r="J820">
        <v>334537</v>
      </c>
      <c r="K820">
        <v>101565</v>
      </c>
      <c r="L820">
        <v>50970</v>
      </c>
      <c r="M820">
        <v>182002</v>
      </c>
      <c r="N820">
        <v>6</v>
      </c>
      <c r="O820" t="s">
        <v>61</v>
      </c>
      <c r="P820" t="s">
        <v>43</v>
      </c>
      <c r="Q820" s="1">
        <v>45081</v>
      </c>
      <c r="R820" s="1">
        <v>45017</v>
      </c>
      <c r="S820" t="s">
        <v>35</v>
      </c>
      <c r="T820" s="1">
        <v>45078</v>
      </c>
      <c r="U820">
        <v>2023</v>
      </c>
    </row>
    <row r="821" spans="1:21" x14ac:dyDescent="0.3">
      <c r="A821" t="s">
        <v>931</v>
      </c>
      <c r="B821" t="s">
        <v>46</v>
      </c>
      <c r="C821" t="s">
        <v>47</v>
      </c>
      <c r="D821" t="s">
        <v>83</v>
      </c>
      <c r="E821" s="1">
        <v>45048</v>
      </c>
      <c r="F821" t="s">
        <v>49</v>
      </c>
      <c r="G821" t="s">
        <v>26</v>
      </c>
      <c r="H821">
        <v>6</v>
      </c>
      <c r="I821">
        <v>46380</v>
      </c>
      <c r="J821">
        <v>278280</v>
      </c>
      <c r="K821">
        <v>147861</v>
      </c>
      <c r="L821">
        <v>29172</v>
      </c>
      <c r="M821">
        <v>101247</v>
      </c>
      <c r="N821">
        <v>17</v>
      </c>
      <c r="O821" t="s">
        <v>61</v>
      </c>
      <c r="P821" t="s">
        <v>62</v>
      </c>
      <c r="Q821" s="1">
        <v>45046</v>
      </c>
      <c r="R821" s="1">
        <v>45017</v>
      </c>
      <c r="S821" t="s">
        <v>68</v>
      </c>
      <c r="T821" s="1">
        <v>45047</v>
      </c>
      <c r="U821">
        <v>2023</v>
      </c>
    </row>
    <row r="822" spans="1:21" x14ac:dyDescent="0.3">
      <c r="A822" t="s">
        <v>932</v>
      </c>
      <c r="B822" t="s">
        <v>46</v>
      </c>
      <c r="C822" t="s">
        <v>47</v>
      </c>
      <c r="D822" t="s">
        <v>80</v>
      </c>
      <c r="E822" s="1">
        <v>45248</v>
      </c>
      <c r="F822" t="s">
        <v>40</v>
      </c>
      <c r="G822" t="s">
        <v>98</v>
      </c>
      <c r="H822">
        <v>4</v>
      </c>
      <c r="I822">
        <v>41851</v>
      </c>
      <c r="J822">
        <v>167404</v>
      </c>
      <c r="K822">
        <v>55605</v>
      </c>
      <c r="L822">
        <v>24740</v>
      </c>
      <c r="M822">
        <v>87059</v>
      </c>
      <c r="N822">
        <v>19</v>
      </c>
      <c r="O822" t="s">
        <v>61</v>
      </c>
      <c r="P822" t="s">
        <v>67</v>
      </c>
      <c r="Q822" s="1">
        <v>45242</v>
      </c>
      <c r="R822" s="1">
        <v>45200</v>
      </c>
      <c r="S822" t="s">
        <v>138</v>
      </c>
      <c r="T822" s="1">
        <v>45231</v>
      </c>
      <c r="U822">
        <v>2023</v>
      </c>
    </row>
    <row r="823" spans="1:21" x14ac:dyDescent="0.3">
      <c r="A823" t="s">
        <v>933</v>
      </c>
      <c r="B823" t="s">
        <v>46</v>
      </c>
      <c r="C823" t="s">
        <v>47</v>
      </c>
      <c r="D823" t="s">
        <v>54</v>
      </c>
      <c r="E823" s="1">
        <v>44965</v>
      </c>
      <c r="F823" t="s">
        <v>49</v>
      </c>
      <c r="G823" t="s">
        <v>58</v>
      </c>
      <c r="H823">
        <v>10</v>
      </c>
      <c r="I823">
        <v>56764</v>
      </c>
      <c r="J823">
        <v>567640</v>
      </c>
      <c r="K823">
        <v>198971</v>
      </c>
      <c r="L823">
        <v>98921</v>
      </c>
      <c r="M823">
        <v>269748</v>
      </c>
      <c r="N823">
        <v>42</v>
      </c>
      <c r="O823" t="s">
        <v>42</v>
      </c>
      <c r="P823" t="s">
        <v>43</v>
      </c>
      <c r="Q823" s="1">
        <v>44962</v>
      </c>
      <c r="R823" s="1">
        <v>44927</v>
      </c>
      <c r="S823" t="s">
        <v>85</v>
      </c>
      <c r="T823" s="1">
        <v>44958</v>
      </c>
      <c r="U823">
        <v>2023</v>
      </c>
    </row>
    <row r="824" spans="1:21" x14ac:dyDescent="0.3">
      <c r="A824" t="s">
        <v>934</v>
      </c>
      <c r="B824" t="s">
        <v>37</v>
      </c>
      <c r="C824" t="s">
        <v>38</v>
      </c>
      <c r="D824" t="s">
        <v>83</v>
      </c>
      <c r="E824" s="1">
        <v>45180</v>
      </c>
      <c r="F824" t="s">
        <v>57</v>
      </c>
      <c r="G824" t="s">
        <v>98</v>
      </c>
      <c r="H824">
        <v>4</v>
      </c>
      <c r="I824">
        <v>10384</v>
      </c>
      <c r="J824">
        <v>41536</v>
      </c>
      <c r="K824">
        <v>17650</v>
      </c>
      <c r="L824">
        <v>4659</v>
      </c>
      <c r="M824">
        <v>19227</v>
      </c>
      <c r="N824">
        <v>25</v>
      </c>
      <c r="O824" t="s">
        <v>61</v>
      </c>
      <c r="P824" t="s">
        <v>51</v>
      </c>
      <c r="Q824" s="1">
        <v>45179</v>
      </c>
      <c r="R824" s="1">
        <v>45108</v>
      </c>
      <c r="S824" t="s">
        <v>104</v>
      </c>
      <c r="T824" s="1">
        <v>45170</v>
      </c>
      <c r="U824">
        <v>2023</v>
      </c>
    </row>
    <row r="825" spans="1:21" x14ac:dyDescent="0.3">
      <c r="A825" t="s">
        <v>935</v>
      </c>
      <c r="B825" t="s">
        <v>31</v>
      </c>
      <c r="C825" t="s">
        <v>23</v>
      </c>
      <c r="D825" t="s">
        <v>111</v>
      </c>
      <c r="E825" s="1">
        <v>45039</v>
      </c>
      <c r="F825" t="s">
        <v>40</v>
      </c>
      <c r="G825" t="s">
        <v>41</v>
      </c>
      <c r="H825">
        <v>7</v>
      </c>
      <c r="I825">
        <v>38567</v>
      </c>
      <c r="J825">
        <v>269969</v>
      </c>
      <c r="K825">
        <v>137326</v>
      </c>
      <c r="L825">
        <v>46598</v>
      </c>
      <c r="M825">
        <v>86045</v>
      </c>
      <c r="N825">
        <v>22</v>
      </c>
      <c r="O825" t="s">
        <v>42</v>
      </c>
      <c r="P825" t="s">
        <v>28</v>
      </c>
      <c r="Q825" s="1">
        <v>45039</v>
      </c>
      <c r="R825" s="1">
        <v>45017</v>
      </c>
      <c r="S825" t="s">
        <v>74</v>
      </c>
      <c r="T825" s="1">
        <v>45017</v>
      </c>
      <c r="U825">
        <v>2023</v>
      </c>
    </row>
    <row r="826" spans="1:21" x14ac:dyDescent="0.3">
      <c r="A826" t="s">
        <v>936</v>
      </c>
      <c r="B826" t="s">
        <v>46</v>
      </c>
      <c r="C826" t="s">
        <v>47</v>
      </c>
      <c r="D826" t="s">
        <v>87</v>
      </c>
      <c r="E826" s="1">
        <v>44934</v>
      </c>
      <c r="F826" t="s">
        <v>25</v>
      </c>
      <c r="G826" t="s">
        <v>26</v>
      </c>
      <c r="H826">
        <v>5</v>
      </c>
      <c r="I826">
        <v>32255</v>
      </c>
      <c r="J826">
        <v>161275</v>
      </c>
      <c r="K826">
        <v>64868</v>
      </c>
      <c r="L826">
        <v>24317</v>
      </c>
      <c r="M826">
        <v>72090</v>
      </c>
      <c r="N826">
        <v>9</v>
      </c>
      <c r="O826" t="s">
        <v>42</v>
      </c>
      <c r="P826" t="s">
        <v>28</v>
      </c>
      <c r="Q826" s="1">
        <v>44934</v>
      </c>
      <c r="R826" s="1">
        <v>44927</v>
      </c>
      <c r="S826" t="s">
        <v>95</v>
      </c>
      <c r="T826" s="1">
        <v>44927</v>
      </c>
      <c r="U826">
        <v>2023</v>
      </c>
    </row>
    <row r="827" spans="1:21" x14ac:dyDescent="0.3">
      <c r="A827" t="s">
        <v>937</v>
      </c>
      <c r="B827" t="s">
        <v>31</v>
      </c>
      <c r="C827" t="s">
        <v>23</v>
      </c>
      <c r="D827" t="s">
        <v>196</v>
      </c>
      <c r="E827" s="1">
        <v>45064</v>
      </c>
      <c r="F827" t="s">
        <v>40</v>
      </c>
      <c r="G827" t="s">
        <v>58</v>
      </c>
      <c r="H827">
        <v>5</v>
      </c>
      <c r="I827">
        <v>35237</v>
      </c>
      <c r="J827">
        <v>176185</v>
      </c>
      <c r="K827">
        <v>79071</v>
      </c>
      <c r="L827">
        <v>23429</v>
      </c>
      <c r="M827">
        <v>73685</v>
      </c>
      <c r="N827">
        <v>44</v>
      </c>
      <c r="O827" t="s">
        <v>61</v>
      </c>
      <c r="P827" t="s">
        <v>84</v>
      </c>
      <c r="Q827" s="1">
        <v>45060</v>
      </c>
      <c r="R827" s="1">
        <v>45017</v>
      </c>
      <c r="S827" t="s">
        <v>68</v>
      </c>
      <c r="T827" s="1">
        <v>45047</v>
      </c>
      <c r="U827">
        <v>2023</v>
      </c>
    </row>
    <row r="828" spans="1:21" x14ac:dyDescent="0.3">
      <c r="A828" t="s">
        <v>938</v>
      </c>
      <c r="B828" t="s">
        <v>46</v>
      </c>
      <c r="C828" t="s">
        <v>47</v>
      </c>
      <c r="D828" t="s">
        <v>196</v>
      </c>
      <c r="E828" s="1">
        <v>45183</v>
      </c>
      <c r="F828" t="s">
        <v>40</v>
      </c>
      <c r="G828" t="s">
        <v>33</v>
      </c>
      <c r="H828">
        <v>6</v>
      </c>
      <c r="I828">
        <v>10221</v>
      </c>
      <c r="J828">
        <v>61326</v>
      </c>
      <c r="K828">
        <v>23181</v>
      </c>
      <c r="L828">
        <v>11668</v>
      </c>
      <c r="M828">
        <v>26477</v>
      </c>
      <c r="N828">
        <v>26</v>
      </c>
      <c r="O828" t="s">
        <v>50</v>
      </c>
      <c r="P828" t="s">
        <v>84</v>
      </c>
      <c r="Q828" s="1">
        <v>45179</v>
      </c>
      <c r="R828" s="1">
        <v>45108</v>
      </c>
      <c r="S828" t="s">
        <v>104</v>
      </c>
      <c r="T828" s="1">
        <v>45170</v>
      </c>
      <c r="U828">
        <v>2023</v>
      </c>
    </row>
    <row r="829" spans="1:21" x14ac:dyDescent="0.3">
      <c r="A829" t="s">
        <v>939</v>
      </c>
      <c r="B829" t="s">
        <v>31</v>
      </c>
      <c r="C829" t="s">
        <v>23</v>
      </c>
      <c r="D829" t="s">
        <v>128</v>
      </c>
      <c r="E829" s="1">
        <v>45222</v>
      </c>
      <c r="F829" t="s">
        <v>40</v>
      </c>
      <c r="G829" t="s">
        <v>41</v>
      </c>
      <c r="H829">
        <v>1</v>
      </c>
      <c r="I829">
        <v>18812</v>
      </c>
      <c r="J829">
        <v>18812</v>
      </c>
      <c r="K829">
        <v>11047</v>
      </c>
      <c r="L829">
        <v>2086</v>
      </c>
      <c r="M829">
        <v>5679</v>
      </c>
      <c r="N829">
        <v>5</v>
      </c>
      <c r="O829" t="s">
        <v>61</v>
      </c>
      <c r="P829" t="s">
        <v>51</v>
      </c>
      <c r="Q829" s="1">
        <v>45221</v>
      </c>
      <c r="R829" s="1">
        <v>45200</v>
      </c>
      <c r="S829" t="s">
        <v>52</v>
      </c>
      <c r="T829" s="1">
        <v>45200</v>
      </c>
      <c r="U829">
        <v>2023</v>
      </c>
    </row>
    <row r="830" spans="1:21" x14ac:dyDescent="0.3">
      <c r="A830" t="s">
        <v>940</v>
      </c>
      <c r="B830" t="s">
        <v>72</v>
      </c>
      <c r="C830" t="s">
        <v>47</v>
      </c>
      <c r="D830" t="s">
        <v>135</v>
      </c>
      <c r="E830" s="1">
        <v>45214</v>
      </c>
      <c r="F830" t="s">
        <v>49</v>
      </c>
      <c r="G830" t="s">
        <v>26</v>
      </c>
      <c r="H830">
        <v>4</v>
      </c>
      <c r="I830">
        <v>38329</v>
      </c>
      <c r="J830">
        <v>153316</v>
      </c>
      <c r="K830">
        <v>88666</v>
      </c>
      <c r="L830">
        <v>28326</v>
      </c>
      <c r="M830">
        <v>36324</v>
      </c>
      <c r="N830">
        <v>45</v>
      </c>
      <c r="O830" t="s">
        <v>61</v>
      </c>
      <c r="P830" t="s">
        <v>28</v>
      </c>
      <c r="Q830" s="1">
        <v>45214</v>
      </c>
      <c r="R830" s="1">
        <v>45200</v>
      </c>
      <c r="S830" t="s">
        <v>52</v>
      </c>
      <c r="T830" s="1">
        <v>45200</v>
      </c>
      <c r="U830">
        <v>2023</v>
      </c>
    </row>
    <row r="831" spans="1:21" x14ac:dyDescent="0.3">
      <c r="A831" t="s">
        <v>941</v>
      </c>
      <c r="B831" t="s">
        <v>37</v>
      </c>
      <c r="C831" t="s">
        <v>38</v>
      </c>
      <c r="D831" t="s">
        <v>121</v>
      </c>
      <c r="E831" s="1">
        <v>45244</v>
      </c>
      <c r="F831" t="s">
        <v>25</v>
      </c>
      <c r="G831" t="s">
        <v>33</v>
      </c>
      <c r="H831">
        <v>1</v>
      </c>
      <c r="I831">
        <v>5248</v>
      </c>
      <c r="J831">
        <v>5248</v>
      </c>
      <c r="K831">
        <v>2029</v>
      </c>
      <c r="L831">
        <v>772</v>
      </c>
      <c r="M831">
        <v>2447</v>
      </c>
      <c r="N831">
        <v>26</v>
      </c>
      <c r="O831" t="s">
        <v>50</v>
      </c>
      <c r="P831" t="s">
        <v>62</v>
      </c>
      <c r="Q831" s="1">
        <v>45242</v>
      </c>
      <c r="R831" s="1">
        <v>45200</v>
      </c>
      <c r="S831" t="s">
        <v>138</v>
      </c>
      <c r="T831" s="1">
        <v>45231</v>
      </c>
      <c r="U831">
        <v>2023</v>
      </c>
    </row>
    <row r="832" spans="1:21" x14ac:dyDescent="0.3">
      <c r="A832" t="s">
        <v>942</v>
      </c>
      <c r="B832" t="s">
        <v>46</v>
      </c>
      <c r="C832" t="s">
        <v>47</v>
      </c>
      <c r="D832" t="s">
        <v>196</v>
      </c>
      <c r="E832" s="1">
        <v>45087</v>
      </c>
      <c r="F832" t="s">
        <v>40</v>
      </c>
      <c r="G832" t="s">
        <v>98</v>
      </c>
      <c r="H832">
        <v>2</v>
      </c>
      <c r="I832">
        <v>10793</v>
      </c>
      <c r="J832">
        <v>21586</v>
      </c>
      <c r="K832">
        <v>11477</v>
      </c>
      <c r="L832">
        <v>4033</v>
      </c>
      <c r="M832">
        <v>6076</v>
      </c>
      <c r="N832">
        <v>26</v>
      </c>
      <c r="O832" t="s">
        <v>42</v>
      </c>
      <c r="P832" t="s">
        <v>67</v>
      </c>
      <c r="Q832" s="1">
        <v>45081</v>
      </c>
      <c r="R832" s="1">
        <v>45017</v>
      </c>
      <c r="S832" t="s">
        <v>35</v>
      </c>
      <c r="T832" s="1">
        <v>45078</v>
      </c>
      <c r="U832">
        <v>2023</v>
      </c>
    </row>
    <row r="833" spans="1:21" x14ac:dyDescent="0.3">
      <c r="A833" t="s">
        <v>943</v>
      </c>
      <c r="B833" t="s">
        <v>46</v>
      </c>
      <c r="C833" t="s">
        <v>47</v>
      </c>
      <c r="D833" t="s">
        <v>54</v>
      </c>
      <c r="E833" s="1">
        <v>45146</v>
      </c>
      <c r="F833" t="s">
        <v>25</v>
      </c>
      <c r="G833" t="s">
        <v>58</v>
      </c>
      <c r="H833">
        <v>10</v>
      </c>
      <c r="I833">
        <v>26067</v>
      </c>
      <c r="J833">
        <v>260670</v>
      </c>
      <c r="K833">
        <v>78859</v>
      </c>
      <c r="L833">
        <v>33319</v>
      </c>
      <c r="M833">
        <v>148492</v>
      </c>
      <c r="N833">
        <v>21</v>
      </c>
      <c r="O833" t="s">
        <v>50</v>
      </c>
      <c r="P833" t="s">
        <v>62</v>
      </c>
      <c r="Q833" s="1">
        <v>45144</v>
      </c>
      <c r="R833" s="1">
        <v>45108</v>
      </c>
      <c r="S833" t="s">
        <v>92</v>
      </c>
      <c r="T833" s="1">
        <v>45139</v>
      </c>
      <c r="U833">
        <v>2023</v>
      </c>
    </row>
    <row r="834" spans="1:21" x14ac:dyDescent="0.3">
      <c r="A834" t="s">
        <v>944</v>
      </c>
      <c r="B834" t="s">
        <v>72</v>
      </c>
      <c r="C834" t="s">
        <v>47</v>
      </c>
      <c r="D834" t="s">
        <v>152</v>
      </c>
      <c r="E834" s="1">
        <v>44963</v>
      </c>
      <c r="F834" t="s">
        <v>25</v>
      </c>
      <c r="G834" t="s">
        <v>26</v>
      </c>
      <c r="H834">
        <v>3</v>
      </c>
      <c r="I834">
        <v>9633</v>
      </c>
      <c r="J834">
        <v>28899</v>
      </c>
      <c r="K834">
        <v>16498</v>
      </c>
      <c r="L834">
        <v>5449</v>
      </c>
      <c r="M834">
        <v>6952</v>
      </c>
      <c r="N834">
        <v>38</v>
      </c>
      <c r="O834" t="s">
        <v>50</v>
      </c>
      <c r="P834" t="s">
        <v>51</v>
      </c>
      <c r="Q834" s="1">
        <v>44962</v>
      </c>
      <c r="R834" s="1">
        <v>44927</v>
      </c>
      <c r="S834" t="s">
        <v>85</v>
      </c>
      <c r="T834" s="1">
        <v>44958</v>
      </c>
      <c r="U834">
        <v>2023</v>
      </c>
    </row>
    <row r="835" spans="1:21" x14ac:dyDescent="0.3">
      <c r="A835" t="s">
        <v>945</v>
      </c>
      <c r="B835" t="s">
        <v>31</v>
      </c>
      <c r="C835" t="s">
        <v>23</v>
      </c>
      <c r="D835" t="s">
        <v>89</v>
      </c>
      <c r="E835" s="1">
        <v>45199</v>
      </c>
      <c r="F835" t="s">
        <v>49</v>
      </c>
      <c r="G835" t="s">
        <v>81</v>
      </c>
      <c r="H835">
        <v>8</v>
      </c>
      <c r="I835">
        <v>51874</v>
      </c>
      <c r="J835">
        <v>414992</v>
      </c>
      <c r="K835">
        <v>191822</v>
      </c>
      <c r="L835">
        <v>42670</v>
      </c>
      <c r="M835">
        <v>180500</v>
      </c>
      <c r="N835">
        <v>37</v>
      </c>
      <c r="O835" t="s">
        <v>61</v>
      </c>
      <c r="P835" t="s">
        <v>67</v>
      </c>
      <c r="Q835" s="1">
        <v>45193</v>
      </c>
      <c r="R835" s="1">
        <v>45108</v>
      </c>
      <c r="S835" t="s">
        <v>104</v>
      </c>
      <c r="T835" s="1">
        <v>45170</v>
      </c>
      <c r="U835">
        <v>2023</v>
      </c>
    </row>
    <row r="836" spans="1:21" x14ac:dyDescent="0.3">
      <c r="A836" t="s">
        <v>946</v>
      </c>
      <c r="B836" t="s">
        <v>31</v>
      </c>
      <c r="C836" t="s">
        <v>23</v>
      </c>
      <c r="D836" t="s">
        <v>111</v>
      </c>
      <c r="E836" s="1">
        <v>44951</v>
      </c>
      <c r="F836" t="s">
        <v>57</v>
      </c>
      <c r="G836" t="s">
        <v>33</v>
      </c>
      <c r="H836">
        <v>2</v>
      </c>
      <c r="I836">
        <v>51586</v>
      </c>
      <c r="J836">
        <v>103172</v>
      </c>
      <c r="K836">
        <v>55196</v>
      </c>
      <c r="L836">
        <v>14348</v>
      </c>
      <c r="M836">
        <v>33628</v>
      </c>
      <c r="N836">
        <v>1</v>
      </c>
      <c r="O836" t="s">
        <v>34</v>
      </c>
      <c r="P836" t="s">
        <v>43</v>
      </c>
      <c r="Q836" s="1">
        <v>44948</v>
      </c>
      <c r="R836" s="1">
        <v>44927</v>
      </c>
      <c r="S836" t="s">
        <v>95</v>
      </c>
      <c r="T836" s="1">
        <v>44927</v>
      </c>
      <c r="U836">
        <v>2023</v>
      </c>
    </row>
    <row r="837" spans="1:21" x14ac:dyDescent="0.3">
      <c r="A837" t="s">
        <v>947</v>
      </c>
      <c r="B837" t="s">
        <v>37</v>
      </c>
      <c r="C837" t="s">
        <v>38</v>
      </c>
      <c r="D837" t="s">
        <v>188</v>
      </c>
      <c r="E837" s="1">
        <v>44970</v>
      </c>
      <c r="F837" t="s">
        <v>25</v>
      </c>
      <c r="G837" t="s">
        <v>33</v>
      </c>
      <c r="H837">
        <v>4</v>
      </c>
      <c r="I837">
        <v>65828</v>
      </c>
      <c r="J837">
        <v>263312</v>
      </c>
      <c r="K837">
        <v>97313</v>
      </c>
      <c r="L837">
        <v>36024</v>
      </c>
      <c r="M837">
        <v>129975</v>
      </c>
      <c r="N837">
        <v>18</v>
      </c>
      <c r="O837" t="s">
        <v>61</v>
      </c>
      <c r="P837" t="s">
        <v>51</v>
      </c>
      <c r="Q837" s="1">
        <v>44969</v>
      </c>
      <c r="R837" s="1">
        <v>44927</v>
      </c>
      <c r="S837" t="s">
        <v>85</v>
      </c>
      <c r="T837" s="1">
        <v>44958</v>
      </c>
      <c r="U837">
        <v>2023</v>
      </c>
    </row>
    <row r="838" spans="1:21" x14ac:dyDescent="0.3">
      <c r="A838" t="s">
        <v>948</v>
      </c>
      <c r="B838" t="s">
        <v>37</v>
      </c>
      <c r="C838" t="s">
        <v>38</v>
      </c>
      <c r="D838" t="s">
        <v>152</v>
      </c>
      <c r="E838" s="1">
        <v>45158</v>
      </c>
      <c r="F838" t="s">
        <v>49</v>
      </c>
      <c r="G838" t="s">
        <v>26</v>
      </c>
      <c r="H838">
        <v>6</v>
      </c>
      <c r="I838">
        <v>36217</v>
      </c>
      <c r="J838">
        <v>217302</v>
      </c>
      <c r="K838">
        <v>96175</v>
      </c>
      <c r="L838">
        <v>36401</v>
      </c>
      <c r="M838">
        <v>84726</v>
      </c>
      <c r="N838">
        <v>48</v>
      </c>
      <c r="O838" t="s">
        <v>27</v>
      </c>
      <c r="P838" t="s">
        <v>28</v>
      </c>
      <c r="Q838" s="1">
        <v>45158</v>
      </c>
      <c r="R838" s="1">
        <v>45108</v>
      </c>
      <c r="S838" t="s">
        <v>92</v>
      </c>
      <c r="T838" s="1">
        <v>45139</v>
      </c>
      <c r="U838">
        <v>2023</v>
      </c>
    </row>
    <row r="839" spans="1:21" x14ac:dyDescent="0.3">
      <c r="A839" t="s">
        <v>949</v>
      </c>
      <c r="B839" t="s">
        <v>31</v>
      </c>
      <c r="C839" t="s">
        <v>23</v>
      </c>
      <c r="D839" t="s">
        <v>78</v>
      </c>
      <c r="E839" s="1">
        <v>45197</v>
      </c>
      <c r="F839" t="s">
        <v>57</v>
      </c>
      <c r="G839" t="s">
        <v>64</v>
      </c>
      <c r="H839">
        <v>8</v>
      </c>
      <c r="I839">
        <v>3163</v>
      </c>
      <c r="J839">
        <v>25304</v>
      </c>
      <c r="K839">
        <v>13766</v>
      </c>
      <c r="L839">
        <v>3570</v>
      </c>
      <c r="M839">
        <v>7968</v>
      </c>
      <c r="N839">
        <v>21</v>
      </c>
      <c r="O839" t="s">
        <v>27</v>
      </c>
      <c r="P839" t="s">
        <v>84</v>
      </c>
      <c r="Q839" s="1">
        <v>45193</v>
      </c>
      <c r="R839" s="1">
        <v>45108</v>
      </c>
      <c r="S839" t="s">
        <v>104</v>
      </c>
      <c r="T839" s="1">
        <v>45170</v>
      </c>
      <c r="U839">
        <v>2023</v>
      </c>
    </row>
    <row r="840" spans="1:21" x14ac:dyDescent="0.3">
      <c r="A840" t="s">
        <v>950</v>
      </c>
      <c r="B840" t="s">
        <v>22</v>
      </c>
      <c r="C840" t="s">
        <v>23</v>
      </c>
      <c r="D840" t="s">
        <v>91</v>
      </c>
      <c r="E840" s="1">
        <v>45220</v>
      </c>
      <c r="F840" t="s">
        <v>40</v>
      </c>
      <c r="G840" t="s">
        <v>98</v>
      </c>
      <c r="H840">
        <v>3</v>
      </c>
      <c r="I840">
        <v>29198</v>
      </c>
      <c r="J840">
        <v>87594</v>
      </c>
      <c r="K840">
        <v>31327</v>
      </c>
      <c r="L840">
        <v>12523</v>
      </c>
      <c r="M840">
        <v>43744</v>
      </c>
      <c r="N840">
        <v>19</v>
      </c>
      <c r="O840" t="s">
        <v>50</v>
      </c>
      <c r="P840" t="s">
        <v>67</v>
      </c>
      <c r="Q840" s="1">
        <v>45214</v>
      </c>
      <c r="R840" s="1">
        <v>45200</v>
      </c>
      <c r="S840" t="s">
        <v>52</v>
      </c>
      <c r="T840" s="1">
        <v>45200</v>
      </c>
      <c r="U840">
        <v>2023</v>
      </c>
    </row>
    <row r="841" spans="1:21" x14ac:dyDescent="0.3">
      <c r="A841" t="s">
        <v>951</v>
      </c>
      <c r="B841" t="s">
        <v>31</v>
      </c>
      <c r="C841" t="s">
        <v>23</v>
      </c>
      <c r="D841" t="s">
        <v>101</v>
      </c>
      <c r="E841" s="1">
        <v>45165</v>
      </c>
      <c r="F841" t="s">
        <v>40</v>
      </c>
      <c r="G841" t="s">
        <v>41</v>
      </c>
      <c r="H841">
        <v>4</v>
      </c>
      <c r="I841">
        <v>63302</v>
      </c>
      <c r="J841">
        <v>253208</v>
      </c>
      <c r="K841">
        <v>85554</v>
      </c>
      <c r="L841">
        <v>37816</v>
      </c>
      <c r="M841">
        <v>129838</v>
      </c>
      <c r="N841">
        <v>43</v>
      </c>
      <c r="O841" t="s">
        <v>50</v>
      </c>
      <c r="P841" t="s">
        <v>28</v>
      </c>
      <c r="Q841" s="1">
        <v>45165</v>
      </c>
      <c r="R841" s="1">
        <v>45108</v>
      </c>
      <c r="S841" t="s">
        <v>92</v>
      </c>
      <c r="T841" s="1">
        <v>45139</v>
      </c>
      <c r="U841">
        <v>2023</v>
      </c>
    </row>
    <row r="842" spans="1:21" x14ac:dyDescent="0.3">
      <c r="A842" t="s">
        <v>952</v>
      </c>
      <c r="B842" t="s">
        <v>31</v>
      </c>
      <c r="C842" t="s">
        <v>23</v>
      </c>
      <c r="D842" t="s">
        <v>83</v>
      </c>
      <c r="E842" s="1">
        <v>45161</v>
      </c>
      <c r="F842" t="s">
        <v>40</v>
      </c>
      <c r="G842" t="s">
        <v>64</v>
      </c>
      <c r="H842">
        <v>7</v>
      </c>
      <c r="I842">
        <v>34457</v>
      </c>
      <c r="J842">
        <v>241199</v>
      </c>
      <c r="K842">
        <v>127302</v>
      </c>
      <c r="L842">
        <v>37440</v>
      </c>
      <c r="M842">
        <v>76457</v>
      </c>
      <c r="N842">
        <v>24</v>
      </c>
      <c r="O842" t="s">
        <v>27</v>
      </c>
      <c r="P842" t="s">
        <v>43</v>
      </c>
      <c r="Q842" s="1">
        <v>45158</v>
      </c>
      <c r="R842" s="1">
        <v>45108</v>
      </c>
      <c r="S842" t="s">
        <v>92</v>
      </c>
      <c r="T842" s="1">
        <v>45139</v>
      </c>
      <c r="U842">
        <v>2023</v>
      </c>
    </row>
    <row r="843" spans="1:21" x14ac:dyDescent="0.3">
      <c r="A843" t="s">
        <v>953</v>
      </c>
      <c r="B843" t="s">
        <v>72</v>
      </c>
      <c r="C843" t="s">
        <v>47</v>
      </c>
      <c r="D843" t="s">
        <v>221</v>
      </c>
      <c r="E843" s="1">
        <v>45032</v>
      </c>
      <c r="F843" t="s">
        <v>40</v>
      </c>
      <c r="G843" t="s">
        <v>41</v>
      </c>
      <c r="H843">
        <v>3</v>
      </c>
      <c r="I843">
        <v>32686</v>
      </c>
      <c r="J843">
        <v>98058</v>
      </c>
      <c r="K843">
        <v>54732</v>
      </c>
      <c r="L843">
        <v>13086</v>
      </c>
      <c r="M843">
        <v>30240</v>
      </c>
      <c r="N843">
        <v>15</v>
      </c>
      <c r="O843" t="s">
        <v>27</v>
      </c>
      <c r="P843" t="s">
        <v>28</v>
      </c>
      <c r="Q843" s="1">
        <v>45032</v>
      </c>
      <c r="R843" s="1">
        <v>45017</v>
      </c>
      <c r="S843" t="s">
        <v>74</v>
      </c>
      <c r="T843" s="1">
        <v>45017</v>
      </c>
      <c r="U843">
        <v>2023</v>
      </c>
    </row>
    <row r="844" spans="1:21" x14ac:dyDescent="0.3">
      <c r="A844" t="s">
        <v>954</v>
      </c>
      <c r="B844" t="s">
        <v>22</v>
      </c>
      <c r="C844" t="s">
        <v>23</v>
      </c>
      <c r="D844" t="s">
        <v>154</v>
      </c>
      <c r="E844" s="1">
        <v>45032</v>
      </c>
      <c r="F844" t="s">
        <v>25</v>
      </c>
      <c r="G844" t="s">
        <v>33</v>
      </c>
      <c r="H844">
        <v>6</v>
      </c>
      <c r="I844">
        <v>26524</v>
      </c>
      <c r="J844">
        <v>159144</v>
      </c>
      <c r="K844">
        <v>81192</v>
      </c>
      <c r="L844">
        <v>22794</v>
      </c>
      <c r="M844">
        <v>55158</v>
      </c>
      <c r="N844">
        <v>38</v>
      </c>
      <c r="O844" t="s">
        <v>61</v>
      </c>
      <c r="P844" t="s">
        <v>28</v>
      </c>
      <c r="Q844" s="1">
        <v>45032</v>
      </c>
      <c r="R844" s="1">
        <v>45017</v>
      </c>
      <c r="S844" t="s">
        <v>74</v>
      </c>
      <c r="T844" s="1">
        <v>45017</v>
      </c>
      <c r="U844">
        <v>2023</v>
      </c>
    </row>
    <row r="845" spans="1:21" x14ac:dyDescent="0.3">
      <c r="A845" t="s">
        <v>955</v>
      </c>
      <c r="B845" t="s">
        <v>22</v>
      </c>
      <c r="C845" t="s">
        <v>23</v>
      </c>
      <c r="D845" t="s">
        <v>60</v>
      </c>
      <c r="E845" s="1">
        <v>44997</v>
      </c>
      <c r="F845" t="s">
        <v>25</v>
      </c>
      <c r="G845" t="s">
        <v>26</v>
      </c>
      <c r="H845">
        <v>9</v>
      </c>
      <c r="I845">
        <v>49035</v>
      </c>
      <c r="J845">
        <v>441315</v>
      </c>
      <c r="K845">
        <v>222675</v>
      </c>
      <c r="L845">
        <v>59800</v>
      </c>
      <c r="M845">
        <v>158840</v>
      </c>
      <c r="N845">
        <v>9</v>
      </c>
      <c r="O845" t="s">
        <v>34</v>
      </c>
      <c r="P845" t="s">
        <v>28</v>
      </c>
      <c r="Q845" s="1">
        <v>44997</v>
      </c>
      <c r="R845" s="1">
        <v>44927</v>
      </c>
      <c r="S845" t="s">
        <v>44</v>
      </c>
      <c r="T845" s="1">
        <v>44986</v>
      </c>
      <c r="U845">
        <v>2023</v>
      </c>
    </row>
    <row r="846" spans="1:21" x14ac:dyDescent="0.3">
      <c r="A846" t="s">
        <v>956</v>
      </c>
      <c r="B846" t="s">
        <v>37</v>
      </c>
      <c r="C846" t="s">
        <v>38</v>
      </c>
      <c r="D846" t="s">
        <v>221</v>
      </c>
      <c r="E846" s="1">
        <v>45000</v>
      </c>
      <c r="F846" t="s">
        <v>49</v>
      </c>
      <c r="G846" t="s">
        <v>58</v>
      </c>
      <c r="H846">
        <v>6</v>
      </c>
      <c r="I846">
        <v>22840</v>
      </c>
      <c r="J846">
        <v>137040</v>
      </c>
      <c r="K846">
        <v>66535</v>
      </c>
      <c r="L846">
        <v>17692</v>
      </c>
      <c r="M846">
        <v>52813</v>
      </c>
      <c r="N846">
        <v>1</v>
      </c>
      <c r="O846" t="s">
        <v>34</v>
      </c>
      <c r="P846" t="s">
        <v>43</v>
      </c>
      <c r="Q846" s="1">
        <v>44997</v>
      </c>
      <c r="R846" s="1">
        <v>44927</v>
      </c>
      <c r="S846" t="s">
        <v>44</v>
      </c>
      <c r="T846" s="1">
        <v>44986</v>
      </c>
      <c r="U846">
        <v>2023</v>
      </c>
    </row>
    <row r="847" spans="1:21" x14ac:dyDescent="0.3">
      <c r="A847" t="s">
        <v>957</v>
      </c>
      <c r="B847" t="s">
        <v>37</v>
      </c>
      <c r="C847" t="s">
        <v>38</v>
      </c>
      <c r="D847" t="s">
        <v>97</v>
      </c>
      <c r="E847" s="1">
        <v>44950</v>
      </c>
      <c r="F847" t="s">
        <v>25</v>
      </c>
      <c r="G847" t="s">
        <v>81</v>
      </c>
      <c r="H847">
        <v>10</v>
      </c>
      <c r="I847">
        <v>41602</v>
      </c>
      <c r="J847">
        <v>416020</v>
      </c>
      <c r="K847">
        <v>146344</v>
      </c>
      <c r="L847">
        <v>50399</v>
      </c>
      <c r="M847">
        <v>219277</v>
      </c>
      <c r="N847">
        <v>47</v>
      </c>
      <c r="O847" t="s">
        <v>42</v>
      </c>
      <c r="P847" t="s">
        <v>62</v>
      </c>
      <c r="Q847" s="1">
        <v>44948</v>
      </c>
      <c r="R847" s="1">
        <v>44927</v>
      </c>
      <c r="S847" t="s">
        <v>95</v>
      </c>
      <c r="T847" s="1">
        <v>44927</v>
      </c>
      <c r="U847">
        <v>2023</v>
      </c>
    </row>
    <row r="848" spans="1:21" x14ac:dyDescent="0.3">
      <c r="A848" t="s">
        <v>958</v>
      </c>
      <c r="B848" t="s">
        <v>22</v>
      </c>
      <c r="C848" t="s">
        <v>23</v>
      </c>
      <c r="D848" t="s">
        <v>196</v>
      </c>
      <c r="E848" s="1">
        <v>45203</v>
      </c>
      <c r="F848" t="s">
        <v>40</v>
      </c>
      <c r="G848" t="s">
        <v>64</v>
      </c>
      <c r="H848">
        <v>6</v>
      </c>
      <c r="I848">
        <v>48651</v>
      </c>
      <c r="J848">
        <v>291906</v>
      </c>
      <c r="K848">
        <v>115167</v>
      </c>
      <c r="L848">
        <v>32004</v>
      </c>
      <c r="M848">
        <v>144735</v>
      </c>
      <c r="N848">
        <v>30</v>
      </c>
      <c r="O848" t="s">
        <v>61</v>
      </c>
      <c r="P848" t="s">
        <v>43</v>
      </c>
      <c r="Q848" s="1">
        <v>45200</v>
      </c>
      <c r="R848" s="1">
        <v>45200</v>
      </c>
      <c r="S848" t="s">
        <v>52</v>
      </c>
      <c r="T848" s="1">
        <v>45200</v>
      </c>
      <c r="U848">
        <v>2023</v>
      </c>
    </row>
    <row r="849" spans="1:21" x14ac:dyDescent="0.3">
      <c r="A849" t="s">
        <v>959</v>
      </c>
      <c r="B849" t="s">
        <v>31</v>
      </c>
      <c r="C849" t="s">
        <v>23</v>
      </c>
      <c r="D849" t="s">
        <v>114</v>
      </c>
      <c r="E849" s="1">
        <v>44998</v>
      </c>
      <c r="F849" t="s">
        <v>57</v>
      </c>
      <c r="G849" t="s">
        <v>64</v>
      </c>
      <c r="H849">
        <v>8</v>
      </c>
      <c r="I849">
        <v>41528</v>
      </c>
      <c r="J849">
        <v>332224</v>
      </c>
      <c r="K849">
        <v>130739</v>
      </c>
      <c r="L849">
        <v>54419</v>
      </c>
      <c r="M849">
        <v>147066</v>
      </c>
      <c r="N849">
        <v>25</v>
      </c>
      <c r="O849" t="s">
        <v>34</v>
      </c>
      <c r="P849" t="s">
        <v>51</v>
      </c>
      <c r="Q849" s="1">
        <v>44997</v>
      </c>
      <c r="R849" s="1">
        <v>44927</v>
      </c>
      <c r="S849" t="s">
        <v>44</v>
      </c>
      <c r="T849" s="1">
        <v>44986</v>
      </c>
      <c r="U849">
        <v>2023</v>
      </c>
    </row>
    <row r="850" spans="1:21" x14ac:dyDescent="0.3">
      <c r="A850" t="s">
        <v>960</v>
      </c>
      <c r="B850" t="s">
        <v>37</v>
      </c>
      <c r="C850" t="s">
        <v>38</v>
      </c>
      <c r="D850" t="s">
        <v>89</v>
      </c>
      <c r="E850" s="1">
        <v>45004</v>
      </c>
      <c r="F850" t="s">
        <v>25</v>
      </c>
      <c r="G850" t="s">
        <v>64</v>
      </c>
      <c r="H850">
        <v>3</v>
      </c>
      <c r="I850">
        <v>48160</v>
      </c>
      <c r="J850">
        <v>144480</v>
      </c>
      <c r="K850">
        <v>56770</v>
      </c>
      <c r="L850">
        <v>24706</v>
      </c>
      <c r="M850">
        <v>63004</v>
      </c>
      <c r="N850">
        <v>43</v>
      </c>
      <c r="O850" t="s">
        <v>27</v>
      </c>
      <c r="P850" t="s">
        <v>28</v>
      </c>
      <c r="Q850" s="1">
        <v>45004</v>
      </c>
      <c r="R850" s="1">
        <v>44927</v>
      </c>
      <c r="S850" t="s">
        <v>44</v>
      </c>
      <c r="T850" s="1">
        <v>44986</v>
      </c>
      <c r="U850">
        <v>2023</v>
      </c>
    </row>
    <row r="851" spans="1:21" x14ac:dyDescent="0.3">
      <c r="A851" t="s">
        <v>961</v>
      </c>
      <c r="B851" t="s">
        <v>72</v>
      </c>
      <c r="C851" t="s">
        <v>47</v>
      </c>
      <c r="D851" t="s">
        <v>145</v>
      </c>
      <c r="E851" s="1">
        <v>45042</v>
      </c>
      <c r="F851" t="s">
        <v>25</v>
      </c>
      <c r="G851" t="s">
        <v>64</v>
      </c>
      <c r="H851">
        <v>5</v>
      </c>
      <c r="I851">
        <v>55318</v>
      </c>
      <c r="J851">
        <v>276590</v>
      </c>
      <c r="K851">
        <v>149147</v>
      </c>
      <c r="L851">
        <v>32713</v>
      </c>
      <c r="M851">
        <v>94730</v>
      </c>
      <c r="N851">
        <v>22</v>
      </c>
      <c r="O851" t="s">
        <v>34</v>
      </c>
      <c r="P851" t="s">
        <v>43</v>
      </c>
      <c r="Q851" s="1">
        <v>45039</v>
      </c>
      <c r="R851" s="1">
        <v>45017</v>
      </c>
      <c r="S851" t="s">
        <v>74</v>
      </c>
      <c r="T851" s="1">
        <v>45017</v>
      </c>
      <c r="U851">
        <v>2023</v>
      </c>
    </row>
    <row r="852" spans="1:21" x14ac:dyDescent="0.3">
      <c r="A852" t="s">
        <v>962</v>
      </c>
      <c r="B852" t="s">
        <v>72</v>
      </c>
      <c r="C852" t="s">
        <v>47</v>
      </c>
      <c r="D852" t="s">
        <v>152</v>
      </c>
      <c r="E852" s="1">
        <v>45174</v>
      </c>
      <c r="F852" t="s">
        <v>40</v>
      </c>
      <c r="G852" t="s">
        <v>81</v>
      </c>
      <c r="H852">
        <v>10</v>
      </c>
      <c r="I852">
        <v>63233</v>
      </c>
      <c r="J852">
        <v>632330</v>
      </c>
      <c r="K852">
        <v>314995</v>
      </c>
      <c r="L852">
        <v>106287</v>
      </c>
      <c r="M852">
        <v>211048</v>
      </c>
      <c r="N852">
        <v>16</v>
      </c>
      <c r="O852" t="s">
        <v>61</v>
      </c>
      <c r="P852" t="s">
        <v>62</v>
      </c>
      <c r="Q852" s="1">
        <v>45172</v>
      </c>
      <c r="R852" s="1">
        <v>45108</v>
      </c>
      <c r="S852" t="s">
        <v>104</v>
      </c>
      <c r="T852" s="1">
        <v>45170</v>
      </c>
      <c r="U852">
        <v>2023</v>
      </c>
    </row>
    <row r="853" spans="1:21" x14ac:dyDescent="0.3">
      <c r="A853" t="s">
        <v>963</v>
      </c>
      <c r="B853" t="s">
        <v>31</v>
      </c>
      <c r="C853" t="s">
        <v>23</v>
      </c>
      <c r="D853" t="s">
        <v>117</v>
      </c>
      <c r="E853" s="1">
        <v>45076</v>
      </c>
      <c r="F853" t="s">
        <v>57</v>
      </c>
      <c r="G853" t="s">
        <v>64</v>
      </c>
      <c r="H853">
        <v>9</v>
      </c>
      <c r="I853">
        <v>48022</v>
      </c>
      <c r="J853">
        <v>432198</v>
      </c>
      <c r="K853">
        <v>183798</v>
      </c>
      <c r="L853">
        <v>73024</v>
      </c>
      <c r="M853">
        <v>175376</v>
      </c>
      <c r="N853">
        <v>25</v>
      </c>
      <c r="O853" t="s">
        <v>42</v>
      </c>
      <c r="P853" t="s">
        <v>62</v>
      </c>
      <c r="Q853" s="1">
        <v>45074</v>
      </c>
      <c r="R853" s="1">
        <v>45017</v>
      </c>
      <c r="S853" t="s">
        <v>68</v>
      </c>
      <c r="T853" s="1">
        <v>45047</v>
      </c>
      <c r="U853">
        <v>2023</v>
      </c>
    </row>
    <row r="854" spans="1:21" x14ac:dyDescent="0.3">
      <c r="A854" t="s">
        <v>964</v>
      </c>
      <c r="B854" t="s">
        <v>22</v>
      </c>
      <c r="C854" t="s">
        <v>23</v>
      </c>
      <c r="D854" t="s">
        <v>148</v>
      </c>
      <c r="E854" s="1">
        <v>45121</v>
      </c>
      <c r="F854" t="s">
        <v>57</v>
      </c>
      <c r="G854" t="s">
        <v>41</v>
      </c>
      <c r="H854">
        <v>7</v>
      </c>
      <c r="I854">
        <v>57609</v>
      </c>
      <c r="J854">
        <v>403263</v>
      </c>
      <c r="K854">
        <v>209439</v>
      </c>
      <c r="L854">
        <v>53884</v>
      </c>
      <c r="M854">
        <v>139940</v>
      </c>
      <c r="N854">
        <v>47</v>
      </c>
      <c r="O854" t="s">
        <v>34</v>
      </c>
      <c r="P854" t="s">
        <v>99</v>
      </c>
      <c r="Q854" s="1">
        <v>45116</v>
      </c>
      <c r="R854" s="1">
        <v>45108</v>
      </c>
      <c r="S854" t="s">
        <v>29</v>
      </c>
      <c r="T854" s="1">
        <v>45108</v>
      </c>
      <c r="U854">
        <v>2023</v>
      </c>
    </row>
    <row r="855" spans="1:21" x14ac:dyDescent="0.3">
      <c r="A855" t="s">
        <v>965</v>
      </c>
      <c r="B855" t="s">
        <v>31</v>
      </c>
      <c r="C855" t="s">
        <v>23</v>
      </c>
      <c r="D855" t="s">
        <v>148</v>
      </c>
      <c r="E855" s="1">
        <v>45171</v>
      </c>
      <c r="F855" t="s">
        <v>25</v>
      </c>
      <c r="G855" t="s">
        <v>33</v>
      </c>
      <c r="H855">
        <v>9</v>
      </c>
      <c r="I855">
        <v>24716</v>
      </c>
      <c r="J855">
        <v>222444</v>
      </c>
      <c r="K855">
        <v>68573</v>
      </c>
      <c r="L855">
        <v>44165</v>
      </c>
      <c r="M855">
        <v>109706</v>
      </c>
      <c r="N855">
        <v>35</v>
      </c>
      <c r="O855" t="s">
        <v>27</v>
      </c>
      <c r="P855" t="s">
        <v>67</v>
      </c>
      <c r="Q855" s="1">
        <v>45165</v>
      </c>
      <c r="R855" s="1">
        <v>45108</v>
      </c>
      <c r="S855" t="s">
        <v>104</v>
      </c>
      <c r="T855" s="1">
        <v>45170</v>
      </c>
      <c r="U855">
        <v>2023</v>
      </c>
    </row>
    <row r="856" spans="1:21" x14ac:dyDescent="0.3">
      <c r="A856" t="s">
        <v>966</v>
      </c>
      <c r="B856" t="s">
        <v>37</v>
      </c>
      <c r="C856" t="s">
        <v>38</v>
      </c>
      <c r="D856" t="s">
        <v>111</v>
      </c>
      <c r="E856" s="1">
        <v>45208</v>
      </c>
      <c r="F856" t="s">
        <v>57</v>
      </c>
      <c r="G856" t="s">
        <v>26</v>
      </c>
      <c r="H856">
        <v>8</v>
      </c>
      <c r="I856">
        <v>13665</v>
      </c>
      <c r="J856">
        <v>109320</v>
      </c>
      <c r="K856">
        <v>42067</v>
      </c>
      <c r="L856">
        <v>12940</v>
      </c>
      <c r="M856">
        <v>54313</v>
      </c>
      <c r="N856">
        <v>26</v>
      </c>
      <c r="O856" t="s">
        <v>34</v>
      </c>
      <c r="P856" t="s">
        <v>51</v>
      </c>
      <c r="Q856" s="1">
        <v>45207</v>
      </c>
      <c r="R856" s="1">
        <v>45200</v>
      </c>
      <c r="S856" t="s">
        <v>52</v>
      </c>
      <c r="T856" s="1">
        <v>45200</v>
      </c>
      <c r="U856">
        <v>2023</v>
      </c>
    </row>
    <row r="857" spans="1:21" x14ac:dyDescent="0.3">
      <c r="A857" t="s">
        <v>967</v>
      </c>
      <c r="B857" t="s">
        <v>22</v>
      </c>
      <c r="C857" t="s">
        <v>23</v>
      </c>
      <c r="D857" t="s">
        <v>256</v>
      </c>
      <c r="E857" s="1">
        <v>45242</v>
      </c>
      <c r="F857" t="s">
        <v>57</v>
      </c>
      <c r="G857" t="s">
        <v>98</v>
      </c>
      <c r="H857">
        <v>9</v>
      </c>
      <c r="I857">
        <v>44374</v>
      </c>
      <c r="J857">
        <v>399366</v>
      </c>
      <c r="K857">
        <v>238525</v>
      </c>
      <c r="L857">
        <v>58015</v>
      </c>
      <c r="M857">
        <v>102826</v>
      </c>
      <c r="N857">
        <v>1</v>
      </c>
      <c r="O857" t="s">
        <v>42</v>
      </c>
      <c r="P857" t="s">
        <v>28</v>
      </c>
      <c r="Q857" s="1">
        <v>45242</v>
      </c>
      <c r="R857" s="1">
        <v>45200</v>
      </c>
      <c r="S857" t="s">
        <v>138</v>
      </c>
      <c r="T857" s="1">
        <v>45231</v>
      </c>
      <c r="U857">
        <v>2023</v>
      </c>
    </row>
    <row r="858" spans="1:21" x14ac:dyDescent="0.3">
      <c r="A858" t="s">
        <v>968</v>
      </c>
      <c r="B858" t="s">
        <v>22</v>
      </c>
      <c r="C858" t="s">
        <v>23</v>
      </c>
      <c r="D858" t="s">
        <v>152</v>
      </c>
      <c r="E858" s="1">
        <v>44961</v>
      </c>
      <c r="F858" t="s">
        <v>57</v>
      </c>
      <c r="G858" t="s">
        <v>98</v>
      </c>
      <c r="H858">
        <v>4</v>
      </c>
      <c r="I858">
        <v>67338</v>
      </c>
      <c r="J858">
        <v>269352</v>
      </c>
      <c r="K858">
        <v>148423</v>
      </c>
      <c r="L858">
        <v>31922</v>
      </c>
      <c r="M858">
        <v>89007</v>
      </c>
      <c r="N858">
        <v>13</v>
      </c>
      <c r="O858" t="s">
        <v>34</v>
      </c>
      <c r="P858" t="s">
        <v>67</v>
      </c>
      <c r="Q858" s="1">
        <v>44955</v>
      </c>
      <c r="R858" s="1">
        <v>44927</v>
      </c>
      <c r="S858" t="s">
        <v>85</v>
      </c>
      <c r="T858" s="1">
        <v>44958</v>
      </c>
      <c r="U858">
        <v>2023</v>
      </c>
    </row>
    <row r="859" spans="1:21" x14ac:dyDescent="0.3">
      <c r="A859" t="s">
        <v>969</v>
      </c>
      <c r="B859" t="s">
        <v>72</v>
      </c>
      <c r="C859" t="s">
        <v>47</v>
      </c>
      <c r="D859" t="s">
        <v>301</v>
      </c>
      <c r="E859" s="1">
        <v>45066</v>
      </c>
      <c r="F859" t="s">
        <v>25</v>
      </c>
      <c r="G859" t="s">
        <v>58</v>
      </c>
      <c r="H859">
        <v>1</v>
      </c>
      <c r="I859">
        <v>54198</v>
      </c>
      <c r="J859">
        <v>54198</v>
      </c>
      <c r="K859">
        <v>26501</v>
      </c>
      <c r="L859">
        <v>10031</v>
      </c>
      <c r="M859">
        <v>17666</v>
      </c>
      <c r="N859">
        <v>49</v>
      </c>
      <c r="O859" t="s">
        <v>42</v>
      </c>
      <c r="P859" t="s">
        <v>67</v>
      </c>
      <c r="Q859" s="1">
        <v>45060</v>
      </c>
      <c r="R859" s="1">
        <v>45017</v>
      </c>
      <c r="S859" t="s">
        <v>68</v>
      </c>
      <c r="T859" s="1">
        <v>45047</v>
      </c>
      <c r="U859">
        <v>2023</v>
      </c>
    </row>
    <row r="860" spans="1:21" x14ac:dyDescent="0.3">
      <c r="A860" t="s">
        <v>970</v>
      </c>
      <c r="B860" t="s">
        <v>31</v>
      </c>
      <c r="C860" t="s">
        <v>23</v>
      </c>
      <c r="D860" t="s">
        <v>163</v>
      </c>
      <c r="E860" s="1">
        <v>45220</v>
      </c>
      <c r="F860" t="s">
        <v>57</v>
      </c>
      <c r="G860" t="s">
        <v>81</v>
      </c>
      <c r="H860">
        <v>8</v>
      </c>
      <c r="I860">
        <v>20999</v>
      </c>
      <c r="J860">
        <v>167992</v>
      </c>
      <c r="K860">
        <v>100036</v>
      </c>
      <c r="L860">
        <v>18456</v>
      </c>
      <c r="M860">
        <v>49500</v>
      </c>
      <c r="N860">
        <v>20</v>
      </c>
      <c r="O860" t="s">
        <v>27</v>
      </c>
      <c r="P860" t="s">
        <v>67</v>
      </c>
      <c r="Q860" s="1">
        <v>45214</v>
      </c>
      <c r="R860" s="1">
        <v>45200</v>
      </c>
      <c r="S860" t="s">
        <v>52</v>
      </c>
      <c r="T860" s="1">
        <v>45200</v>
      </c>
      <c r="U860">
        <v>2023</v>
      </c>
    </row>
    <row r="861" spans="1:21" x14ac:dyDescent="0.3">
      <c r="A861" t="s">
        <v>971</v>
      </c>
      <c r="B861" t="s">
        <v>31</v>
      </c>
      <c r="C861" t="s">
        <v>23</v>
      </c>
      <c r="D861" t="s">
        <v>83</v>
      </c>
      <c r="E861" s="1">
        <v>45045</v>
      </c>
      <c r="F861" t="s">
        <v>49</v>
      </c>
      <c r="G861" t="s">
        <v>64</v>
      </c>
      <c r="H861">
        <v>5</v>
      </c>
      <c r="I861">
        <v>50032</v>
      </c>
      <c r="J861">
        <v>250160</v>
      </c>
      <c r="K861">
        <v>131084</v>
      </c>
      <c r="L861">
        <v>31627</v>
      </c>
      <c r="M861">
        <v>87449</v>
      </c>
      <c r="N861">
        <v>7</v>
      </c>
      <c r="O861" t="s">
        <v>50</v>
      </c>
      <c r="P861" t="s">
        <v>67</v>
      </c>
      <c r="Q861" s="1">
        <v>45039</v>
      </c>
      <c r="R861" s="1">
        <v>45017</v>
      </c>
      <c r="S861" t="s">
        <v>74</v>
      </c>
      <c r="T861" s="1">
        <v>45017</v>
      </c>
      <c r="U861">
        <v>2023</v>
      </c>
    </row>
    <row r="862" spans="1:21" x14ac:dyDescent="0.3">
      <c r="A862" t="s">
        <v>972</v>
      </c>
      <c r="B862" t="s">
        <v>31</v>
      </c>
      <c r="C862" t="s">
        <v>23</v>
      </c>
      <c r="D862" t="s">
        <v>137</v>
      </c>
      <c r="E862" s="1">
        <v>45128</v>
      </c>
      <c r="F862" t="s">
        <v>57</v>
      </c>
      <c r="G862" t="s">
        <v>33</v>
      </c>
      <c r="H862">
        <v>10</v>
      </c>
      <c r="I862">
        <v>54465</v>
      </c>
      <c r="J862">
        <v>544650</v>
      </c>
      <c r="K862">
        <v>313369</v>
      </c>
      <c r="L862">
        <v>84641</v>
      </c>
      <c r="M862">
        <v>146640</v>
      </c>
      <c r="N862">
        <v>27</v>
      </c>
      <c r="O862" t="s">
        <v>61</v>
      </c>
      <c r="P862" t="s">
        <v>99</v>
      </c>
      <c r="Q862" s="1">
        <v>45123</v>
      </c>
      <c r="R862" s="1">
        <v>45108</v>
      </c>
      <c r="S862" t="s">
        <v>29</v>
      </c>
      <c r="T862" s="1">
        <v>45108</v>
      </c>
      <c r="U862">
        <v>2023</v>
      </c>
    </row>
    <row r="863" spans="1:21" x14ac:dyDescent="0.3">
      <c r="A863" t="s">
        <v>973</v>
      </c>
      <c r="B863" t="s">
        <v>31</v>
      </c>
      <c r="C863" t="s">
        <v>23</v>
      </c>
      <c r="D863" t="s">
        <v>108</v>
      </c>
      <c r="E863" s="1">
        <v>45199</v>
      </c>
      <c r="F863" t="s">
        <v>40</v>
      </c>
      <c r="G863" t="s">
        <v>58</v>
      </c>
      <c r="H863">
        <v>9</v>
      </c>
      <c r="I863">
        <v>68489</v>
      </c>
      <c r="J863">
        <v>616401</v>
      </c>
      <c r="K863">
        <v>233920</v>
      </c>
      <c r="L863">
        <v>70518</v>
      </c>
      <c r="M863">
        <v>311963</v>
      </c>
      <c r="N863">
        <v>50</v>
      </c>
      <c r="O863" t="s">
        <v>27</v>
      </c>
      <c r="P863" t="s">
        <v>67</v>
      </c>
      <c r="Q863" s="1">
        <v>45193</v>
      </c>
      <c r="R863" s="1">
        <v>45108</v>
      </c>
      <c r="S863" t="s">
        <v>104</v>
      </c>
      <c r="T863" s="1">
        <v>45170</v>
      </c>
      <c r="U863">
        <v>2023</v>
      </c>
    </row>
    <row r="864" spans="1:21" x14ac:dyDescent="0.3">
      <c r="A864" t="s">
        <v>974</v>
      </c>
      <c r="B864" t="s">
        <v>37</v>
      </c>
      <c r="C864" t="s">
        <v>38</v>
      </c>
      <c r="D864" t="s">
        <v>152</v>
      </c>
      <c r="E864" s="1">
        <v>45022</v>
      </c>
      <c r="F864" t="s">
        <v>40</v>
      </c>
      <c r="G864" t="s">
        <v>26</v>
      </c>
      <c r="H864">
        <v>1</v>
      </c>
      <c r="I864">
        <v>48033</v>
      </c>
      <c r="J864">
        <v>48033</v>
      </c>
      <c r="K864">
        <v>24512</v>
      </c>
      <c r="L864">
        <v>9289</v>
      </c>
      <c r="M864">
        <v>14232</v>
      </c>
      <c r="N864">
        <v>32</v>
      </c>
      <c r="O864" t="s">
        <v>61</v>
      </c>
      <c r="P864" t="s">
        <v>84</v>
      </c>
      <c r="Q864" s="1">
        <v>45018</v>
      </c>
      <c r="R864" s="1">
        <v>45017</v>
      </c>
      <c r="S864" t="s">
        <v>74</v>
      </c>
      <c r="T864" s="1">
        <v>45017</v>
      </c>
      <c r="U864">
        <v>2023</v>
      </c>
    </row>
    <row r="865" spans="1:21" x14ac:dyDescent="0.3">
      <c r="A865" t="s">
        <v>975</v>
      </c>
      <c r="B865" t="s">
        <v>46</v>
      </c>
      <c r="C865" t="s">
        <v>47</v>
      </c>
      <c r="D865" t="s">
        <v>70</v>
      </c>
      <c r="E865" s="1">
        <v>45241</v>
      </c>
      <c r="F865" t="s">
        <v>25</v>
      </c>
      <c r="G865" t="s">
        <v>81</v>
      </c>
      <c r="H865">
        <v>3</v>
      </c>
      <c r="I865">
        <v>68739</v>
      </c>
      <c r="J865">
        <v>206217</v>
      </c>
      <c r="K865">
        <v>73140</v>
      </c>
      <c r="L865">
        <v>35126</v>
      </c>
      <c r="M865">
        <v>97951</v>
      </c>
      <c r="N865">
        <v>33</v>
      </c>
      <c r="O865" t="s">
        <v>27</v>
      </c>
      <c r="P865" t="s">
        <v>67</v>
      </c>
      <c r="Q865" s="1">
        <v>45235</v>
      </c>
      <c r="R865" s="1">
        <v>45200</v>
      </c>
      <c r="S865" t="s">
        <v>138</v>
      </c>
      <c r="T865" s="1">
        <v>45231</v>
      </c>
      <c r="U865">
        <v>2023</v>
      </c>
    </row>
    <row r="866" spans="1:21" x14ac:dyDescent="0.3">
      <c r="A866" t="s">
        <v>976</v>
      </c>
      <c r="B866" t="s">
        <v>31</v>
      </c>
      <c r="C866" t="s">
        <v>23</v>
      </c>
      <c r="D866" t="s">
        <v>301</v>
      </c>
      <c r="E866" s="1">
        <v>45156</v>
      </c>
      <c r="F866" t="s">
        <v>25</v>
      </c>
      <c r="G866" t="s">
        <v>81</v>
      </c>
      <c r="H866">
        <v>10</v>
      </c>
      <c r="I866">
        <v>6614</v>
      </c>
      <c r="J866">
        <v>66140</v>
      </c>
      <c r="K866">
        <v>35568</v>
      </c>
      <c r="L866">
        <v>6997</v>
      </c>
      <c r="M866">
        <v>23575</v>
      </c>
      <c r="N866">
        <v>42</v>
      </c>
      <c r="O866" t="s">
        <v>27</v>
      </c>
      <c r="P866" t="s">
        <v>99</v>
      </c>
      <c r="Q866" s="1">
        <v>45151</v>
      </c>
      <c r="R866" s="1">
        <v>45108</v>
      </c>
      <c r="S866" t="s">
        <v>92</v>
      </c>
      <c r="T866" s="1">
        <v>45139</v>
      </c>
      <c r="U866">
        <v>2023</v>
      </c>
    </row>
    <row r="867" spans="1:21" x14ac:dyDescent="0.3">
      <c r="A867" t="s">
        <v>977</v>
      </c>
      <c r="B867" t="s">
        <v>37</v>
      </c>
      <c r="C867" t="s">
        <v>38</v>
      </c>
      <c r="D867" t="s">
        <v>256</v>
      </c>
      <c r="E867" s="1">
        <v>44961</v>
      </c>
      <c r="F867" t="s">
        <v>25</v>
      </c>
      <c r="G867" t="s">
        <v>64</v>
      </c>
      <c r="H867">
        <v>6</v>
      </c>
      <c r="I867">
        <v>58423</v>
      </c>
      <c r="J867">
        <v>350538</v>
      </c>
      <c r="K867">
        <v>205406</v>
      </c>
      <c r="L867">
        <v>61640</v>
      </c>
      <c r="M867">
        <v>83492</v>
      </c>
      <c r="N867">
        <v>4</v>
      </c>
      <c r="O867" t="s">
        <v>34</v>
      </c>
      <c r="P867" t="s">
        <v>67</v>
      </c>
      <c r="Q867" s="1">
        <v>44955</v>
      </c>
      <c r="R867" s="1">
        <v>44927</v>
      </c>
      <c r="S867" t="s">
        <v>85</v>
      </c>
      <c r="T867" s="1">
        <v>44958</v>
      </c>
      <c r="U867">
        <v>2023</v>
      </c>
    </row>
    <row r="868" spans="1:21" x14ac:dyDescent="0.3">
      <c r="A868" t="s">
        <v>978</v>
      </c>
      <c r="B868" t="s">
        <v>37</v>
      </c>
      <c r="C868" t="s">
        <v>38</v>
      </c>
      <c r="D868" t="s">
        <v>87</v>
      </c>
      <c r="E868" s="1">
        <v>45186</v>
      </c>
      <c r="F868" t="s">
        <v>49</v>
      </c>
      <c r="G868" t="s">
        <v>58</v>
      </c>
      <c r="H868">
        <v>4</v>
      </c>
      <c r="I868">
        <v>55075</v>
      </c>
      <c r="J868">
        <v>220300</v>
      </c>
      <c r="K868">
        <v>101507</v>
      </c>
      <c r="L868">
        <v>29483</v>
      </c>
      <c r="M868">
        <v>89310</v>
      </c>
      <c r="N868">
        <v>27</v>
      </c>
      <c r="O868" t="s">
        <v>27</v>
      </c>
      <c r="P868" t="s">
        <v>28</v>
      </c>
      <c r="Q868" s="1">
        <v>45186</v>
      </c>
      <c r="R868" s="1">
        <v>45108</v>
      </c>
      <c r="S868" t="s">
        <v>104</v>
      </c>
      <c r="T868" s="1">
        <v>45170</v>
      </c>
      <c r="U868">
        <v>2023</v>
      </c>
    </row>
    <row r="869" spans="1:21" x14ac:dyDescent="0.3">
      <c r="A869" t="s">
        <v>979</v>
      </c>
      <c r="B869" t="s">
        <v>46</v>
      </c>
      <c r="C869" t="s">
        <v>47</v>
      </c>
      <c r="D869" t="s">
        <v>117</v>
      </c>
      <c r="E869" s="1">
        <v>45064</v>
      </c>
      <c r="F869" t="s">
        <v>25</v>
      </c>
      <c r="G869" t="s">
        <v>33</v>
      </c>
      <c r="H869">
        <v>4</v>
      </c>
      <c r="I869">
        <v>50882</v>
      </c>
      <c r="J869">
        <v>203528</v>
      </c>
      <c r="K869">
        <v>96760</v>
      </c>
      <c r="L869">
        <v>21001</v>
      </c>
      <c r="M869">
        <v>85767</v>
      </c>
      <c r="N869">
        <v>3</v>
      </c>
      <c r="O869" t="s">
        <v>27</v>
      </c>
      <c r="P869" t="s">
        <v>84</v>
      </c>
      <c r="Q869" s="1">
        <v>45060</v>
      </c>
      <c r="R869" s="1">
        <v>45017</v>
      </c>
      <c r="S869" t="s">
        <v>68</v>
      </c>
      <c r="T869" s="1">
        <v>45047</v>
      </c>
      <c r="U869">
        <v>2023</v>
      </c>
    </row>
    <row r="870" spans="1:21" x14ac:dyDescent="0.3">
      <c r="A870" t="s">
        <v>980</v>
      </c>
      <c r="B870" t="s">
        <v>46</v>
      </c>
      <c r="C870" t="s">
        <v>47</v>
      </c>
      <c r="D870" t="s">
        <v>176</v>
      </c>
      <c r="E870" s="1">
        <v>45239</v>
      </c>
      <c r="F870" t="s">
        <v>49</v>
      </c>
      <c r="G870" t="s">
        <v>64</v>
      </c>
      <c r="H870">
        <v>10</v>
      </c>
      <c r="I870">
        <v>21400</v>
      </c>
      <c r="J870">
        <v>214000</v>
      </c>
      <c r="K870">
        <v>81574</v>
      </c>
      <c r="L870">
        <v>24749</v>
      </c>
      <c r="M870">
        <v>107677</v>
      </c>
      <c r="N870">
        <v>16</v>
      </c>
      <c r="O870" t="s">
        <v>50</v>
      </c>
      <c r="P870" t="s">
        <v>84</v>
      </c>
      <c r="Q870" s="1">
        <v>45235</v>
      </c>
      <c r="R870" s="1">
        <v>45200</v>
      </c>
      <c r="S870" t="s">
        <v>138</v>
      </c>
      <c r="T870" s="1">
        <v>45231</v>
      </c>
      <c r="U870">
        <v>2023</v>
      </c>
    </row>
    <row r="871" spans="1:21" x14ac:dyDescent="0.3">
      <c r="A871" t="s">
        <v>981</v>
      </c>
      <c r="B871" t="s">
        <v>46</v>
      </c>
      <c r="C871" t="s">
        <v>47</v>
      </c>
      <c r="D871" t="s">
        <v>70</v>
      </c>
      <c r="E871" s="1">
        <v>45132</v>
      </c>
      <c r="F871" t="s">
        <v>25</v>
      </c>
      <c r="G871" t="s">
        <v>81</v>
      </c>
      <c r="H871">
        <v>1</v>
      </c>
      <c r="I871">
        <v>23073</v>
      </c>
      <c r="J871">
        <v>23073</v>
      </c>
      <c r="K871">
        <v>10647</v>
      </c>
      <c r="L871">
        <v>2446</v>
      </c>
      <c r="M871">
        <v>9980</v>
      </c>
      <c r="N871">
        <v>24</v>
      </c>
      <c r="O871" t="s">
        <v>42</v>
      </c>
      <c r="P871" t="s">
        <v>62</v>
      </c>
      <c r="Q871" s="1">
        <v>45130</v>
      </c>
      <c r="R871" s="1">
        <v>45108</v>
      </c>
      <c r="S871" t="s">
        <v>29</v>
      </c>
      <c r="T871" s="1">
        <v>45108</v>
      </c>
      <c r="U871">
        <v>2023</v>
      </c>
    </row>
    <row r="872" spans="1:21" x14ac:dyDescent="0.3">
      <c r="A872" t="s">
        <v>982</v>
      </c>
      <c r="B872" t="s">
        <v>22</v>
      </c>
      <c r="C872" t="s">
        <v>23</v>
      </c>
      <c r="D872" t="s">
        <v>154</v>
      </c>
      <c r="E872" s="1">
        <v>44964</v>
      </c>
      <c r="F872" t="s">
        <v>40</v>
      </c>
      <c r="G872" t="s">
        <v>81</v>
      </c>
      <c r="H872">
        <v>6</v>
      </c>
      <c r="I872">
        <v>51861</v>
      </c>
      <c r="J872">
        <v>311166</v>
      </c>
      <c r="K872">
        <v>132719</v>
      </c>
      <c r="L872">
        <v>31355</v>
      </c>
      <c r="M872">
        <v>147092</v>
      </c>
      <c r="N872">
        <v>42</v>
      </c>
      <c r="O872" t="s">
        <v>61</v>
      </c>
      <c r="P872" t="s">
        <v>62</v>
      </c>
      <c r="Q872" s="1">
        <v>44962</v>
      </c>
      <c r="R872" s="1">
        <v>44927</v>
      </c>
      <c r="S872" t="s">
        <v>85</v>
      </c>
      <c r="T872" s="1">
        <v>44958</v>
      </c>
      <c r="U872">
        <v>2023</v>
      </c>
    </row>
    <row r="873" spans="1:21" x14ac:dyDescent="0.3">
      <c r="A873" t="s">
        <v>983</v>
      </c>
      <c r="B873" t="s">
        <v>37</v>
      </c>
      <c r="C873" t="s">
        <v>38</v>
      </c>
      <c r="D873" t="s">
        <v>148</v>
      </c>
      <c r="E873" s="1">
        <v>45187</v>
      </c>
      <c r="F873" t="s">
        <v>25</v>
      </c>
      <c r="G873" t="s">
        <v>33</v>
      </c>
      <c r="H873">
        <v>8</v>
      </c>
      <c r="I873">
        <v>19020</v>
      </c>
      <c r="J873">
        <v>152160</v>
      </c>
      <c r="K873">
        <v>58074</v>
      </c>
      <c r="L873">
        <v>23504</v>
      </c>
      <c r="M873">
        <v>70582</v>
      </c>
      <c r="N873">
        <v>49</v>
      </c>
      <c r="O873" t="s">
        <v>50</v>
      </c>
      <c r="P873" t="s">
        <v>51</v>
      </c>
      <c r="Q873" s="1">
        <v>45186</v>
      </c>
      <c r="R873" s="1">
        <v>45108</v>
      </c>
      <c r="S873" t="s">
        <v>104</v>
      </c>
      <c r="T873" s="1">
        <v>45170</v>
      </c>
      <c r="U873">
        <v>2023</v>
      </c>
    </row>
    <row r="874" spans="1:21" x14ac:dyDescent="0.3">
      <c r="A874" t="s">
        <v>984</v>
      </c>
      <c r="B874" t="s">
        <v>31</v>
      </c>
      <c r="C874" t="s">
        <v>23</v>
      </c>
      <c r="D874" t="s">
        <v>133</v>
      </c>
      <c r="E874" s="1">
        <v>44943</v>
      </c>
      <c r="F874" t="s">
        <v>57</v>
      </c>
      <c r="G874" t="s">
        <v>98</v>
      </c>
      <c r="H874">
        <v>4</v>
      </c>
      <c r="I874">
        <v>35051</v>
      </c>
      <c r="J874">
        <v>140204</v>
      </c>
      <c r="K874">
        <v>78467</v>
      </c>
      <c r="L874">
        <v>18644</v>
      </c>
      <c r="M874">
        <v>43093</v>
      </c>
      <c r="N874">
        <v>25</v>
      </c>
      <c r="O874" t="s">
        <v>27</v>
      </c>
      <c r="P874" t="s">
        <v>62</v>
      </c>
      <c r="Q874" s="1">
        <v>44941</v>
      </c>
      <c r="R874" s="1">
        <v>44927</v>
      </c>
      <c r="S874" t="s">
        <v>95</v>
      </c>
      <c r="T874" s="1">
        <v>44927</v>
      </c>
      <c r="U874">
        <v>2023</v>
      </c>
    </row>
    <row r="875" spans="1:21" x14ac:dyDescent="0.3">
      <c r="A875" t="s">
        <v>985</v>
      </c>
      <c r="B875" t="s">
        <v>22</v>
      </c>
      <c r="C875" t="s">
        <v>23</v>
      </c>
      <c r="D875" t="s">
        <v>78</v>
      </c>
      <c r="E875" s="1">
        <v>44953</v>
      </c>
      <c r="F875" t="s">
        <v>40</v>
      </c>
      <c r="G875" t="s">
        <v>41</v>
      </c>
      <c r="H875">
        <v>9</v>
      </c>
      <c r="I875">
        <v>47264</v>
      </c>
      <c r="J875">
        <v>425376</v>
      </c>
      <c r="K875">
        <v>152283</v>
      </c>
      <c r="L875">
        <v>63294</v>
      </c>
      <c r="M875">
        <v>209799</v>
      </c>
      <c r="N875">
        <v>25</v>
      </c>
      <c r="O875" t="s">
        <v>27</v>
      </c>
      <c r="P875" t="s">
        <v>99</v>
      </c>
      <c r="Q875" s="1">
        <v>44948</v>
      </c>
      <c r="R875" s="1">
        <v>44927</v>
      </c>
      <c r="S875" t="s">
        <v>95</v>
      </c>
      <c r="T875" s="1">
        <v>44927</v>
      </c>
      <c r="U875">
        <v>2023</v>
      </c>
    </row>
    <row r="876" spans="1:21" x14ac:dyDescent="0.3">
      <c r="A876" t="s">
        <v>986</v>
      </c>
      <c r="B876" t="s">
        <v>31</v>
      </c>
      <c r="C876" t="s">
        <v>23</v>
      </c>
      <c r="D876" t="s">
        <v>39</v>
      </c>
      <c r="E876" s="1">
        <v>45080</v>
      </c>
      <c r="F876" t="s">
        <v>57</v>
      </c>
      <c r="G876" t="s">
        <v>64</v>
      </c>
      <c r="H876">
        <v>6</v>
      </c>
      <c r="I876">
        <v>18734</v>
      </c>
      <c r="J876">
        <v>112404</v>
      </c>
      <c r="K876">
        <v>55962</v>
      </c>
      <c r="L876">
        <v>22421</v>
      </c>
      <c r="M876">
        <v>34021</v>
      </c>
      <c r="N876">
        <v>16</v>
      </c>
      <c r="O876" t="s">
        <v>61</v>
      </c>
      <c r="P876" t="s">
        <v>67</v>
      </c>
      <c r="Q876" s="1">
        <v>45074</v>
      </c>
      <c r="R876" s="1">
        <v>45017</v>
      </c>
      <c r="S876" t="s">
        <v>35</v>
      </c>
      <c r="T876" s="1">
        <v>45078</v>
      </c>
      <c r="U876">
        <v>2023</v>
      </c>
    </row>
    <row r="877" spans="1:21" x14ac:dyDescent="0.3">
      <c r="A877" t="s">
        <v>987</v>
      </c>
      <c r="B877" t="s">
        <v>46</v>
      </c>
      <c r="C877" t="s">
        <v>47</v>
      </c>
      <c r="D877" t="s">
        <v>168</v>
      </c>
      <c r="E877" s="1">
        <v>45032</v>
      </c>
      <c r="F877" t="s">
        <v>49</v>
      </c>
      <c r="G877" t="s">
        <v>98</v>
      </c>
      <c r="H877">
        <v>10</v>
      </c>
      <c r="I877">
        <v>38293</v>
      </c>
      <c r="J877">
        <v>382930</v>
      </c>
      <c r="K877">
        <v>119828</v>
      </c>
      <c r="L877">
        <v>73359</v>
      </c>
      <c r="M877">
        <v>189743</v>
      </c>
      <c r="N877">
        <v>48</v>
      </c>
      <c r="O877" t="s">
        <v>61</v>
      </c>
      <c r="P877" t="s">
        <v>28</v>
      </c>
      <c r="Q877" s="1">
        <v>45032</v>
      </c>
      <c r="R877" s="1">
        <v>45017</v>
      </c>
      <c r="S877" t="s">
        <v>74</v>
      </c>
      <c r="T877" s="1">
        <v>45017</v>
      </c>
      <c r="U877">
        <v>2023</v>
      </c>
    </row>
    <row r="878" spans="1:21" x14ac:dyDescent="0.3">
      <c r="A878" t="s">
        <v>988</v>
      </c>
      <c r="B878" t="s">
        <v>22</v>
      </c>
      <c r="C878" t="s">
        <v>23</v>
      </c>
      <c r="D878" t="s">
        <v>190</v>
      </c>
      <c r="E878" s="1">
        <v>45019</v>
      </c>
      <c r="F878" t="s">
        <v>25</v>
      </c>
      <c r="G878" t="s">
        <v>81</v>
      </c>
      <c r="H878">
        <v>1</v>
      </c>
      <c r="I878">
        <v>35576</v>
      </c>
      <c r="J878">
        <v>35576</v>
      </c>
      <c r="K878">
        <v>11106</v>
      </c>
      <c r="L878">
        <v>4320</v>
      </c>
      <c r="M878">
        <v>20150</v>
      </c>
      <c r="N878">
        <v>45</v>
      </c>
      <c r="O878" t="s">
        <v>27</v>
      </c>
      <c r="P878" t="s">
        <v>51</v>
      </c>
      <c r="Q878" s="1">
        <v>45018</v>
      </c>
      <c r="R878" s="1">
        <v>45017</v>
      </c>
      <c r="S878" t="s">
        <v>74</v>
      </c>
      <c r="T878" s="1">
        <v>45017</v>
      </c>
      <c r="U878">
        <v>2023</v>
      </c>
    </row>
    <row r="879" spans="1:21" x14ac:dyDescent="0.3">
      <c r="A879" t="s">
        <v>989</v>
      </c>
      <c r="B879" t="s">
        <v>22</v>
      </c>
      <c r="C879" t="s">
        <v>23</v>
      </c>
      <c r="D879" t="s">
        <v>111</v>
      </c>
      <c r="E879" s="1">
        <v>45212</v>
      </c>
      <c r="F879" t="s">
        <v>49</v>
      </c>
      <c r="G879" t="s">
        <v>33</v>
      </c>
      <c r="H879">
        <v>10</v>
      </c>
      <c r="I879">
        <v>50128</v>
      </c>
      <c r="J879">
        <v>501280</v>
      </c>
      <c r="K879">
        <v>188202</v>
      </c>
      <c r="L879">
        <v>70859</v>
      </c>
      <c r="M879">
        <v>242219</v>
      </c>
      <c r="N879">
        <v>22</v>
      </c>
      <c r="O879" t="s">
        <v>50</v>
      </c>
      <c r="P879" t="s">
        <v>99</v>
      </c>
      <c r="Q879" s="1">
        <v>45207</v>
      </c>
      <c r="R879" s="1">
        <v>45200</v>
      </c>
      <c r="S879" t="s">
        <v>52</v>
      </c>
      <c r="T879" s="1">
        <v>45200</v>
      </c>
      <c r="U879">
        <v>2023</v>
      </c>
    </row>
    <row r="880" spans="1:21" x14ac:dyDescent="0.3">
      <c r="A880" t="s">
        <v>990</v>
      </c>
      <c r="B880" t="s">
        <v>72</v>
      </c>
      <c r="C880" t="s">
        <v>47</v>
      </c>
      <c r="D880" t="s">
        <v>123</v>
      </c>
      <c r="E880" s="1">
        <v>45070</v>
      </c>
      <c r="F880" t="s">
        <v>49</v>
      </c>
      <c r="G880" t="s">
        <v>41</v>
      </c>
      <c r="H880">
        <v>10</v>
      </c>
      <c r="I880">
        <v>19702</v>
      </c>
      <c r="J880">
        <v>197020</v>
      </c>
      <c r="K880">
        <v>78673</v>
      </c>
      <c r="L880">
        <v>31385</v>
      </c>
      <c r="M880">
        <v>86962</v>
      </c>
      <c r="N880">
        <v>32</v>
      </c>
      <c r="O880" t="s">
        <v>61</v>
      </c>
      <c r="P880" t="s">
        <v>43</v>
      </c>
      <c r="Q880" s="1">
        <v>45067</v>
      </c>
      <c r="R880" s="1">
        <v>45017</v>
      </c>
      <c r="S880" t="s">
        <v>68</v>
      </c>
      <c r="T880" s="1">
        <v>45047</v>
      </c>
      <c r="U880">
        <v>2023</v>
      </c>
    </row>
    <row r="881" spans="1:21" x14ac:dyDescent="0.3">
      <c r="A881" t="s">
        <v>991</v>
      </c>
      <c r="B881" t="s">
        <v>46</v>
      </c>
      <c r="C881" t="s">
        <v>47</v>
      </c>
      <c r="D881" t="s">
        <v>128</v>
      </c>
      <c r="E881" s="1">
        <v>45159</v>
      </c>
      <c r="F881" t="s">
        <v>57</v>
      </c>
      <c r="G881" t="s">
        <v>64</v>
      </c>
      <c r="H881">
        <v>3</v>
      </c>
      <c r="I881">
        <v>7865</v>
      </c>
      <c r="J881">
        <v>23595</v>
      </c>
      <c r="K881">
        <v>12256</v>
      </c>
      <c r="L881">
        <v>4218</v>
      </c>
      <c r="M881">
        <v>7121</v>
      </c>
      <c r="N881">
        <v>3</v>
      </c>
      <c r="O881" t="s">
        <v>50</v>
      </c>
      <c r="P881" t="s">
        <v>51</v>
      </c>
      <c r="Q881" s="1">
        <v>45158</v>
      </c>
      <c r="R881" s="1">
        <v>45108</v>
      </c>
      <c r="S881" t="s">
        <v>92</v>
      </c>
      <c r="T881" s="1">
        <v>45139</v>
      </c>
      <c r="U881">
        <v>2023</v>
      </c>
    </row>
    <row r="882" spans="1:21" x14ac:dyDescent="0.3">
      <c r="A882" t="s">
        <v>992</v>
      </c>
      <c r="B882" t="s">
        <v>31</v>
      </c>
      <c r="C882" t="s">
        <v>23</v>
      </c>
      <c r="D882" t="s">
        <v>80</v>
      </c>
      <c r="E882" s="1">
        <v>44987</v>
      </c>
      <c r="F882" t="s">
        <v>25</v>
      </c>
      <c r="G882" t="s">
        <v>41</v>
      </c>
      <c r="H882">
        <v>8</v>
      </c>
      <c r="I882">
        <v>40173</v>
      </c>
      <c r="J882">
        <v>321384</v>
      </c>
      <c r="K882">
        <v>154478</v>
      </c>
      <c r="L882">
        <v>49981</v>
      </c>
      <c r="M882">
        <v>116925</v>
      </c>
      <c r="N882">
        <v>18</v>
      </c>
      <c r="O882" t="s">
        <v>61</v>
      </c>
      <c r="P882" t="s">
        <v>84</v>
      </c>
      <c r="Q882" s="1">
        <v>44983</v>
      </c>
      <c r="R882" s="1">
        <v>44927</v>
      </c>
      <c r="S882" t="s">
        <v>44</v>
      </c>
      <c r="T882" s="1">
        <v>44986</v>
      </c>
      <c r="U882">
        <v>2023</v>
      </c>
    </row>
    <row r="883" spans="1:21" x14ac:dyDescent="0.3">
      <c r="A883" t="s">
        <v>993</v>
      </c>
      <c r="B883" t="s">
        <v>37</v>
      </c>
      <c r="C883" t="s">
        <v>38</v>
      </c>
      <c r="D883" t="s">
        <v>73</v>
      </c>
      <c r="E883" s="1">
        <v>45180</v>
      </c>
      <c r="F883" t="s">
        <v>25</v>
      </c>
      <c r="G883" t="s">
        <v>26</v>
      </c>
      <c r="H883">
        <v>4</v>
      </c>
      <c r="I883">
        <v>35913</v>
      </c>
      <c r="J883">
        <v>143652</v>
      </c>
      <c r="K883">
        <v>83637</v>
      </c>
      <c r="L883">
        <v>25040</v>
      </c>
      <c r="M883">
        <v>34975</v>
      </c>
      <c r="N883">
        <v>17</v>
      </c>
      <c r="O883" t="s">
        <v>50</v>
      </c>
      <c r="P883" t="s">
        <v>51</v>
      </c>
      <c r="Q883" s="1">
        <v>45179</v>
      </c>
      <c r="R883" s="1">
        <v>45108</v>
      </c>
      <c r="S883" t="s">
        <v>104</v>
      </c>
      <c r="T883" s="1">
        <v>45170</v>
      </c>
      <c r="U883">
        <v>2023</v>
      </c>
    </row>
    <row r="884" spans="1:21" x14ac:dyDescent="0.3">
      <c r="A884" t="s">
        <v>994</v>
      </c>
      <c r="B884" t="s">
        <v>46</v>
      </c>
      <c r="C884" t="s">
        <v>47</v>
      </c>
      <c r="D884" t="s">
        <v>190</v>
      </c>
      <c r="E884" s="1">
        <v>45179</v>
      </c>
      <c r="F884" t="s">
        <v>57</v>
      </c>
      <c r="G884" t="s">
        <v>26</v>
      </c>
      <c r="H884">
        <v>1</v>
      </c>
      <c r="I884">
        <v>26591</v>
      </c>
      <c r="J884">
        <v>26591</v>
      </c>
      <c r="K884">
        <v>14479</v>
      </c>
      <c r="L884">
        <v>4919</v>
      </c>
      <c r="M884">
        <v>7193</v>
      </c>
      <c r="N884">
        <v>12</v>
      </c>
      <c r="O884" t="s">
        <v>61</v>
      </c>
      <c r="P884" t="s">
        <v>28</v>
      </c>
      <c r="Q884" s="1">
        <v>45179</v>
      </c>
      <c r="R884" s="1">
        <v>45108</v>
      </c>
      <c r="S884" t="s">
        <v>104</v>
      </c>
      <c r="T884" s="1">
        <v>45170</v>
      </c>
      <c r="U884">
        <v>2023</v>
      </c>
    </row>
    <row r="885" spans="1:21" x14ac:dyDescent="0.3">
      <c r="A885" t="s">
        <v>995</v>
      </c>
      <c r="B885" t="s">
        <v>31</v>
      </c>
      <c r="C885" t="s">
        <v>23</v>
      </c>
      <c r="D885" t="s">
        <v>87</v>
      </c>
      <c r="E885" s="1">
        <v>45106</v>
      </c>
      <c r="F885" t="s">
        <v>57</v>
      </c>
      <c r="G885" t="s">
        <v>33</v>
      </c>
      <c r="H885">
        <v>7</v>
      </c>
      <c r="I885">
        <v>62651</v>
      </c>
      <c r="J885">
        <v>438557</v>
      </c>
      <c r="K885">
        <v>148212</v>
      </c>
      <c r="L885">
        <v>49083</v>
      </c>
      <c r="M885">
        <v>241262</v>
      </c>
      <c r="N885">
        <v>48</v>
      </c>
      <c r="O885" t="s">
        <v>61</v>
      </c>
      <c r="P885" t="s">
        <v>84</v>
      </c>
      <c r="Q885" s="1">
        <v>45102</v>
      </c>
      <c r="R885" s="1">
        <v>45017</v>
      </c>
      <c r="S885" t="s">
        <v>35</v>
      </c>
      <c r="T885" s="1">
        <v>45078</v>
      </c>
      <c r="U885">
        <v>2023</v>
      </c>
    </row>
    <row r="886" spans="1:21" x14ac:dyDescent="0.3">
      <c r="A886" t="s">
        <v>996</v>
      </c>
      <c r="B886" t="s">
        <v>22</v>
      </c>
      <c r="C886" t="s">
        <v>23</v>
      </c>
      <c r="D886" t="s">
        <v>89</v>
      </c>
      <c r="E886" s="1">
        <v>45077</v>
      </c>
      <c r="F886" t="s">
        <v>25</v>
      </c>
      <c r="G886" t="s">
        <v>81</v>
      </c>
      <c r="H886">
        <v>2</v>
      </c>
      <c r="I886">
        <v>59754</v>
      </c>
      <c r="J886">
        <v>119508</v>
      </c>
      <c r="K886">
        <v>49378</v>
      </c>
      <c r="L886">
        <v>13185</v>
      </c>
      <c r="M886">
        <v>56945</v>
      </c>
      <c r="N886">
        <v>42</v>
      </c>
      <c r="O886" t="s">
        <v>34</v>
      </c>
      <c r="P886" t="s">
        <v>43</v>
      </c>
      <c r="Q886" s="1">
        <v>45074</v>
      </c>
      <c r="R886" s="1">
        <v>45017</v>
      </c>
      <c r="S886" t="s">
        <v>68</v>
      </c>
      <c r="T886" s="1">
        <v>45047</v>
      </c>
      <c r="U886">
        <v>2023</v>
      </c>
    </row>
    <row r="887" spans="1:21" x14ac:dyDescent="0.3">
      <c r="A887" t="s">
        <v>997</v>
      </c>
      <c r="B887" t="s">
        <v>22</v>
      </c>
      <c r="C887" t="s">
        <v>23</v>
      </c>
      <c r="D887" t="s">
        <v>221</v>
      </c>
      <c r="E887" s="1">
        <v>44930</v>
      </c>
      <c r="F887" t="s">
        <v>57</v>
      </c>
      <c r="G887" t="s">
        <v>58</v>
      </c>
      <c r="H887">
        <v>5</v>
      </c>
      <c r="I887">
        <v>36734</v>
      </c>
      <c r="J887">
        <v>183670</v>
      </c>
      <c r="K887">
        <v>60640</v>
      </c>
      <c r="L887">
        <v>24008</v>
      </c>
      <c r="M887">
        <v>99022</v>
      </c>
      <c r="N887">
        <v>15</v>
      </c>
      <c r="O887" t="s">
        <v>27</v>
      </c>
      <c r="P887" t="s">
        <v>43</v>
      </c>
      <c r="Q887" s="1">
        <v>44927</v>
      </c>
      <c r="R887" s="1">
        <v>44927</v>
      </c>
      <c r="S887" t="s">
        <v>95</v>
      </c>
      <c r="T887" s="1">
        <v>44927</v>
      </c>
      <c r="U887">
        <v>2023</v>
      </c>
    </row>
    <row r="888" spans="1:21" x14ac:dyDescent="0.3">
      <c r="A888" t="s">
        <v>998</v>
      </c>
      <c r="B888" t="s">
        <v>22</v>
      </c>
      <c r="C888" t="s">
        <v>23</v>
      </c>
      <c r="D888" t="s">
        <v>137</v>
      </c>
      <c r="E888" s="1">
        <v>44940</v>
      </c>
      <c r="F888" t="s">
        <v>49</v>
      </c>
      <c r="G888" t="s">
        <v>26</v>
      </c>
      <c r="H888">
        <v>10</v>
      </c>
      <c r="I888">
        <v>41148</v>
      </c>
      <c r="J888">
        <v>411480</v>
      </c>
      <c r="K888">
        <v>137683</v>
      </c>
      <c r="L888">
        <v>60226</v>
      </c>
      <c r="M888">
        <v>213571</v>
      </c>
      <c r="N888">
        <v>39</v>
      </c>
      <c r="O888" t="s">
        <v>50</v>
      </c>
      <c r="P888" t="s">
        <v>67</v>
      </c>
      <c r="Q888" s="1">
        <v>44934</v>
      </c>
      <c r="R888" s="1">
        <v>44927</v>
      </c>
      <c r="S888" t="s">
        <v>95</v>
      </c>
      <c r="T888" s="1">
        <v>44927</v>
      </c>
      <c r="U888">
        <v>2023</v>
      </c>
    </row>
    <row r="889" spans="1:21" x14ac:dyDescent="0.3">
      <c r="A889" t="s">
        <v>999</v>
      </c>
      <c r="B889" t="s">
        <v>72</v>
      </c>
      <c r="C889" t="s">
        <v>47</v>
      </c>
      <c r="D889" t="s">
        <v>145</v>
      </c>
      <c r="E889" s="1">
        <v>44980</v>
      </c>
      <c r="F889" t="s">
        <v>57</v>
      </c>
      <c r="G889" t="s">
        <v>41</v>
      </c>
      <c r="H889">
        <v>9</v>
      </c>
      <c r="I889">
        <v>24083</v>
      </c>
      <c r="J889">
        <v>216747</v>
      </c>
      <c r="K889">
        <v>70414</v>
      </c>
      <c r="L889">
        <v>28694</v>
      </c>
      <c r="M889">
        <v>117639</v>
      </c>
      <c r="N889">
        <v>45</v>
      </c>
      <c r="O889" t="s">
        <v>27</v>
      </c>
      <c r="P889" t="s">
        <v>84</v>
      </c>
      <c r="Q889" s="1">
        <v>44976</v>
      </c>
      <c r="R889" s="1">
        <v>44927</v>
      </c>
      <c r="S889" t="s">
        <v>85</v>
      </c>
      <c r="T889" s="1">
        <v>44958</v>
      </c>
      <c r="U889">
        <v>2023</v>
      </c>
    </row>
    <row r="890" spans="1:21" x14ac:dyDescent="0.3">
      <c r="A890" t="s">
        <v>1000</v>
      </c>
      <c r="B890" t="s">
        <v>22</v>
      </c>
      <c r="C890" t="s">
        <v>23</v>
      </c>
      <c r="D890" t="s">
        <v>123</v>
      </c>
      <c r="E890" s="1">
        <v>45215</v>
      </c>
      <c r="F890" t="s">
        <v>40</v>
      </c>
      <c r="G890" t="s">
        <v>58</v>
      </c>
      <c r="H890">
        <v>3</v>
      </c>
      <c r="I890">
        <v>67479</v>
      </c>
      <c r="J890">
        <v>202437</v>
      </c>
      <c r="K890">
        <v>88184</v>
      </c>
      <c r="L890">
        <v>20759</v>
      </c>
      <c r="M890">
        <v>93494</v>
      </c>
      <c r="N890">
        <v>17</v>
      </c>
      <c r="O890" t="s">
        <v>34</v>
      </c>
      <c r="P890" t="s">
        <v>51</v>
      </c>
      <c r="Q890" s="1">
        <v>45214</v>
      </c>
      <c r="R890" s="1">
        <v>45200</v>
      </c>
      <c r="S890" t="s">
        <v>52</v>
      </c>
      <c r="T890" s="1">
        <v>45200</v>
      </c>
      <c r="U890">
        <v>2023</v>
      </c>
    </row>
    <row r="891" spans="1:21" x14ac:dyDescent="0.3">
      <c r="A891" t="s">
        <v>1001</v>
      </c>
      <c r="B891" t="s">
        <v>22</v>
      </c>
      <c r="C891" t="s">
        <v>23</v>
      </c>
      <c r="D891" t="s">
        <v>24</v>
      </c>
      <c r="E891" s="1">
        <v>44939</v>
      </c>
      <c r="F891" t="s">
        <v>57</v>
      </c>
      <c r="G891" t="s">
        <v>33</v>
      </c>
      <c r="H891">
        <v>8</v>
      </c>
      <c r="I891">
        <v>57535</v>
      </c>
      <c r="J891">
        <v>460280</v>
      </c>
      <c r="K891">
        <v>242793</v>
      </c>
      <c r="L891">
        <v>75657</v>
      </c>
      <c r="M891">
        <v>141830</v>
      </c>
      <c r="N891">
        <v>6</v>
      </c>
      <c r="O891" t="s">
        <v>27</v>
      </c>
      <c r="P891" t="s">
        <v>99</v>
      </c>
      <c r="Q891" s="1">
        <v>44934</v>
      </c>
      <c r="R891" s="1">
        <v>44927</v>
      </c>
      <c r="S891" t="s">
        <v>95</v>
      </c>
      <c r="T891" s="1">
        <v>44927</v>
      </c>
      <c r="U891">
        <v>2023</v>
      </c>
    </row>
    <row r="892" spans="1:21" x14ac:dyDescent="0.3">
      <c r="A892" t="s">
        <v>1002</v>
      </c>
      <c r="B892" t="s">
        <v>22</v>
      </c>
      <c r="C892" t="s">
        <v>23</v>
      </c>
      <c r="D892" t="s">
        <v>66</v>
      </c>
      <c r="E892" s="1">
        <v>44971</v>
      </c>
      <c r="F892" t="s">
        <v>25</v>
      </c>
      <c r="G892" t="s">
        <v>26</v>
      </c>
      <c r="H892">
        <v>1</v>
      </c>
      <c r="I892">
        <v>64893</v>
      </c>
      <c r="J892">
        <v>64893</v>
      </c>
      <c r="K892">
        <v>20332</v>
      </c>
      <c r="L892">
        <v>11723</v>
      </c>
      <c r="M892">
        <v>32838</v>
      </c>
      <c r="N892">
        <v>41</v>
      </c>
      <c r="O892" t="s">
        <v>42</v>
      </c>
      <c r="P892" t="s">
        <v>62</v>
      </c>
      <c r="Q892" s="1">
        <v>44969</v>
      </c>
      <c r="R892" s="1">
        <v>44927</v>
      </c>
      <c r="S892" t="s">
        <v>85</v>
      </c>
      <c r="T892" s="1">
        <v>44958</v>
      </c>
      <c r="U892">
        <v>2023</v>
      </c>
    </row>
    <row r="893" spans="1:21" x14ac:dyDescent="0.3">
      <c r="A893" t="s">
        <v>1003</v>
      </c>
      <c r="B893" t="s">
        <v>46</v>
      </c>
      <c r="C893" t="s">
        <v>47</v>
      </c>
      <c r="D893" t="s">
        <v>148</v>
      </c>
      <c r="E893" s="1">
        <v>45043</v>
      </c>
      <c r="F893" t="s">
        <v>40</v>
      </c>
      <c r="G893" t="s">
        <v>64</v>
      </c>
      <c r="H893">
        <v>6</v>
      </c>
      <c r="I893">
        <v>67092</v>
      </c>
      <c r="J893">
        <v>402552</v>
      </c>
      <c r="K893">
        <v>123299</v>
      </c>
      <c r="L893">
        <v>56415</v>
      </c>
      <c r="M893">
        <v>222838</v>
      </c>
      <c r="N893">
        <v>22</v>
      </c>
      <c r="O893" t="s">
        <v>34</v>
      </c>
      <c r="P893" t="s">
        <v>84</v>
      </c>
      <c r="Q893" s="1">
        <v>45039</v>
      </c>
      <c r="R893" s="1">
        <v>45017</v>
      </c>
      <c r="S893" t="s">
        <v>74</v>
      </c>
      <c r="T893" s="1">
        <v>45017</v>
      </c>
      <c r="U893">
        <v>2023</v>
      </c>
    </row>
    <row r="894" spans="1:21" x14ac:dyDescent="0.3">
      <c r="A894" t="s">
        <v>1004</v>
      </c>
      <c r="B894" t="s">
        <v>37</v>
      </c>
      <c r="C894" t="s">
        <v>38</v>
      </c>
      <c r="D894" t="s">
        <v>188</v>
      </c>
      <c r="E894" s="1">
        <v>45035</v>
      </c>
      <c r="F894" t="s">
        <v>57</v>
      </c>
      <c r="G894" t="s">
        <v>26</v>
      </c>
      <c r="H894">
        <v>9</v>
      </c>
      <c r="I894">
        <v>4979</v>
      </c>
      <c r="J894">
        <v>44811</v>
      </c>
      <c r="K894">
        <v>15181</v>
      </c>
      <c r="L894">
        <v>4578</v>
      </c>
      <c r="M894">
        <v>25052</v>
      </c>
      <c r="N894">
        <v>28</v>
      </c>
      <c r="O894" t="s">
        <v>27</v>
      </c>
      <c r="P894" t="s">
        <v>43</v>
      </c>
      <c r="Q894" s="1">
        <v>45032</v>
      </c>
      <c r="R894" s="1">
        <v>45017</v>
      </c>
      <c r="S894" t="s">
        <v>74</v>
      </c>
      <c r="T894" s="1">
        <v>45017</v>
      </c>
      <c r="U894">
        <v>2023</v>
      </c>
    </row>
    <row r="895" spans="1:21" x14ac:dyDescent="0.3">
      <c r="A895" t="s">
        <v>1005</v>
      </c>
      <c r="B895" t="s">
        <v>46</v>
      </c>
      <c r="C895" t="s">
        <v>47</v>
      </c>
      <c r="D895" t="s">
        <v>111</v>
      </c>
      <c r="E895" s="1">
        <v>45056</v>
      </c>
      <c r="F895" t="s">
        <v>40</v>
      </c>
      <c r="G895" t="s">
        <v>33</v>
      </c>
      <c r="H895">
        <v>5</v>
      </c>
      <c r="I895">
        <v>23480</v>
      </c>
      <c r="J895">
        <v>117400</v>
      </c>
      <c r="K895">
        <v>51821</v>
      </c>
      <c r="L895">
        <v>17436</v>
      </c>
      <c r="M895">
        <v>48143</v>
      </c>
      <c r="N895">
        <v>22</v>
      </c>
      <c r="O895" t="s">
        <v>50</v>
      </c>
      <c r="P895" t="s">
        <v>43</v>
      </c>
      <c r="Q895" s="1">
        <v>45053</v>
      </c>
      <c r="R895" s="1">
        <v>45017</v>
      </c>
      <c r="S895" t="s">
        <v>68</v>
      </c>
      <c r="T895" s="1">
        <v>45047</v>
      </c>
      <c r="U895">
        <v>2023</v>
      </c>
    </row>
    <row r="896" spans="1:21" x14ac:dyDescent="0.3">
      <c r="A896" t="s">
        <v>1006</v>
      </c>
      <c r="B896" t="s">
        <v>37</v>
      </c>
      <c r="C896" t="s">
        <v>38</v>
      </c>
      <c r="D896" t="s">
        <v>163</v>
      </c>
      <c r="E896" s="1">
        <v>45197</v>
      </c>
      <c r="F896" t="s">
        <v>40</v>
      </c>
      <c r="G896" t="s">
        <v>33</v>
      </c>
      <c r="H896">
        <v>6</v>
      </c>
      <c r="I896">
        <v>30580</v>
      </c>
      <c r="J896">
        <v>183480</v>
      </c>
      <c r="K896">
        <v>95051</v>
      </c>
      <c r="L896">
        <v>28433</v>
      </c>
      <c r="M896">
        <v>59996</v>
      </c>
      <c r="N896">
        <v>39</v>
      </c>
      <c r="O896" t="s">
        <v>61</v>
      </c>
      <c r="P896" t="s">
        <v>84</v>
      </c>
      <c r="Q896" s="1">
        <v>45193</v>
      </c>
      <c r="R896" s="1">
        <v>45108</v>
      </c>
      <c r="S896" t="s">
        <v>104</v>
      </c>
      <c r="T896" s="1">
        <v>45170</v>
      </c>
      <c r="U896">
        <v>2023</v>
      </c>
    </row>
    <row r="897" spans="1:21" x14ac:dyDescent="0.3">
      <c r="A897" t="s">
        <v>1007</v>
      </c>
      <c r="B897" t="s">
        <v>72</v>
      </c>
      <c r="C897" t="s">
        <v>47</v>
      </c>
      <c r="D897" t="s">
        <v>135</v>
      </c>
      <c r="E897" s="1">
        <v>44950</v>
      </c>
      <c r="F897" t="s">
        <v>57</v>
      </c>
      <c r="G897" t="s">
        <v>26</v>
      </c>
      <c r="H897">
        <v>3</v>
      </c>
      <c r="I897">
        <v>65131</v>
      </c>
      <c r="J897">
        <v>195393</v>
      </c>
      <c r="K897">
        <v>115742</v>
      </c>
      <c r="L897">
        <v>37647</v>
      </c>
      <c r="M897">
        <v>42004</v>
      </c>
      <c r="N897">
        <v>0</v>
      </c>
      <c r="O897" t="s">
        <v>61</v>
      </c>
      <c r="P897" t="s">
        <v>62</v>
      </c>
      <c r="Q897" s="1">
        <v>44948</v>
      </c>
      <c r="R897" s="1">
        <v>44927</v>
      </c>
      <c r="S897" t="s">
        <v>95</v>
      </c>
      <c r="T897" s="1">
        <v>44927</v>
      </c>
      <c r="U897">
        <v>2023</v>
      </c>
    </row>
    <row r="898" spans="1:21" x14ac:dyDescent="0.3">
      <c r="A898" t="s">
        <v>1008</v>
      </c>
      <c r="B898" t="s">
        <v>72</v>
      </c>
      <c r="C898" t="s">
        <v>47</v>
      </c>
      <c r="D898" t="s">
        <v>89</v>
      </c>
      <c r="E898" s="1">
        <v>45183</v>
      </c>
      <c r="F898" t="s">
        <v>57</v>
      </c>
      <c r="G898" t="s">
        <v>41</v>
      </c>
      <c r="H898">
        <v>3</v>
      </c>
      <c r="I898">
        <v>14111</v>
      </c>
      <c r="J898">
        <v>42333</v>
      </c>
      <c r="K898">
        <v>18054</v>
      </c>
      <c r="L898">
        <v>6492</v>
      </c>
      <c r="M898">
        <v>17787</v>
      </c>
      <c r="N898">
        <v>46</v>
      </c>
      <c r="O898" t="s">
        <v>61</v>
      </c>
      <c r="P898" t="s">
        <v>84</v>
      </c>
      <c r="Q898" s="1">
        <v>45179</v>
      </c>
      <c r="R898" s="1">
        <v>45108</v>
      </c>
      <c r="S898" t="s">
        <v>104</v>
      </c>
      <c r="T898" s="1">
        <v>45170</v>
      </c>
      <c r="U898">
        <v>2023</v>
      </c>
    </row>
    <row r="899" spans="1:21" x14ac:dyDescent="0.3">
      <c r="A899" t="s">
        <v>1009</v>
      </c>
      <c r="B899" t="s">
        <v>72</v>
      </c>
      <c r="C899" t="s">
        <v>47</v>
      </c>
      <c r="D899" t="s">
        <v>176</v>
      </c>
      <c r="E899" s="1">
        <v>44954</v>
      </c>
      <c r="F899" t="s">
        <v>57</v>
      </c>
      <c r="G899" t="s">
        <v>64</v>
      </c>
      <c r="H899">
        <v>6</v>
      </c>
      <c r="I899">
        <v>24485</v>
      </c>
      <c r="J899">
        <v>146910</v>
      </c>
      <c r="K899">
        <v>72470</v>
      </c>
      <c r="L899">
        <v>24911</v>
      </c>
      <c r="M899">
        <v>49529</v>
      </c>
      <c r="N899">
        <v>28</v>
      </c>
      <c r="O899" t="s">
        <v>61</v>
      </c>
      <c r="P899" t="s">
        <v>67</v>
      </c>
      <c r="Q899" s="1">
        <v>44948</v>
      </c>
      <c r="R899" s="1">
        <v>44927</v>
      </c>
      <c r="S899" t="s">
        <v>95</v>
      </c>
      <c r="T899" s="1">
        <v>44927</v>
      </c>
      <c r="U899">
        <v>2023</v>
      </c>
    </row>
    <row r="900" spans="1:21" x14ac:dyDescent="0.3">
      <c r="A900" t="s">
        <v>1010</v>
      </c>
      <c r="B900" t="s">
        <v>22</v>
      </c>
      <c r="C900" t="s">
        <v>23</v>
      </c>
      <c r="D900" t="s">
        <v>301</v>
      </c>
      <c r="E900" s="1">
        <v>45113</v>
      </c>
      <c r="F900" t="s">
        <v>25</v>
      </c>
      <c r="G900" t="s">
        <v>64</v>
      </c>
      <c r="H900">
        <v>2</v>
      </c>
      <c r="I900">
        <v>51491</v>
      </c>
      <c r="J900">
        <v>102982</v>
      </c>
      <c r="K900">
        <v>43816</v>
      </c>
      <c r="L900">
        <v>13033</v>
      </c>
      <c r="M900">
        <v>46133</v>
      </c>
      <c r="N900">
        <v>47</v>
      </c>
      <c r="O900" t="s">
        <v>61</v>
      </c>
      <c r="P900" t="s">
        <v>84</v>
      </c>
      <c r="Q900" s="1">
        <v>45109</v>
      </c>
      <c r="R900" s="1">
        <v>45108</v>
      </c>
      <c r="S900" t="s">
        <v>29</v>
      </c>
      <c r="T900" s="1">
        <v>45108</v>
      </c>
      <c r="U900">
        <v>2023</v>
      </c>
    </row>
    <row r="901" spans="1:21" x14ac:dyDescent="0.3">
      <c r="A901" t="s">
        <v>1011</v>
      </c>
      <c r="B901" t="s">
        <v>22</v>
      </c>
      <c r="C901" t="s">
        <v>23</v>
      </c>
      <c r="D901" t="s">
        <v>148</v>
      </c>
      <c r="E901" s="1">
        <v>45253</v>
      </c>
      <c r="F901" t="s">
        <v>25</v>
      </c>
      <c r="G901" t="s">
        <v>41</v>
      </c>
      <c r="H901">
        <v>7</v>
      </c>
      <c r="I901">
        <v>64983</v>
      </c>
      <c r="J901">
        <v>454881</v>
      </c>
      <c r="K901">
        <v>143033</v>
      </c>
      <c r="L901">
        <v>85068</v>
      </c>
      <c r="M901">
        <v>226780</v>
      </c>
      <c r="N901">
        <v>9</v>
      </c>
      <c r="O901" t="s">
        <v>42</v>
      </c>
      <c r="P901" t="s">
        <v>84</v>
      </c>
      <c r="Q901" s="1">
        <v>45249</v>
      </c>
      <c r="R901" s="1">
        <v>45200</v>
      </c>
      <c r="S901" t="s">
        <v>138</v>
      </c>
      <c r="T901" s="1">
        <v>45231</v>
      </c>
      <c r="U901">
        <v>2023</v>
      </c>
    </row>
    <row r="902" spans="1:21" x14ac:dyDescent="0.3">
      <c r="A902" t="s">
        <v>1012</v>
      </c>
      <c r="B902" t="s">
        <v>22</v>
      </c>
      <c r="C902" t="s">
        <v>23</v>
      </c>
      <c r="D902" t="s">
        <v>114</v>
      </c>
      <c r="E902" s="1">
        <v>44960</v>
      </c>
      <c r="F902" t="s">
        <v>40</v>
      </c>
      <c r="G902" t="s">
        <v>33</v>
      </c>
      <c r="H902">
        <v>2</v>
      </c>
      <c r="I902">
        <v>33359</v>
      </c>
      <c r="J902">
        <v>66718</v>
      </c>
      <c r="K902">
        <v>25129</v>
      </c>
      <c r="L902">
        <v>7395</v>
      </c>
      <c r="M902">
        <v>34194</v>
      </c>
      <c r="N902">
        <v>22</v>
      </c>
      <c r="O902" t="s">
        <v>61</v>
      </c>
      <c r="P902" t="s">
        <v>99</v>
      </c>
      <c r="Q902" s="1">
        <v>44955</v>
      </c>
      <c r="R902" s="1">
        <v>44927</v>
      </c>
      <c r="S902" t="s">
        <v>85</v>
      </c>
      <c r="T902" s="1">
        <v>44958</v>
      </c>
      <c r="U902">
        <v>2023</v>
      </c>
    </row>
    <row r="903" spans="1:21" x14ac:dyDescent="0.3">
      <c r="A903" t="s">
        <v>1013</v>
      </c>
      <c r="B903" t="s">
        <v>31</v>
      </c>
      <c r="C903" t="s">
        <v>23</v>
      </c>
      <c r="D903" t="s">
        <v>256</v>
      </c>
      <c r="E903" s="1">
        <v>45071</v>
      </c>
      <c r="F903" t="s">
        <v>57</v>
      </c>
      <c r="G903" t="s">
        <v>58</v>
      </c>
      <c r="H903">
        <v>4</v>
      </c>
      <c r="I903">
        <v>39269</v>
      </c>
      <c r="J903">
        <v>157076</v>
      </c>
      <c r="K903">
        <v>52239</v>
      </c>
      <c r="L903">
        <v>28212</v>
      </c>
      <c r="M903">
        <v>76625</v>
      </c>
      <c r="N903">
        <v>12</v>
      </c>
      <c r="O903" t="s">
        <v>50</v>
      </c>
      <c r="P903" t="s">
        <v>84</v>
      </c>
      <c r="Q903" s="1">
        <v>45067</v>
      </c>
      <c r="R903" s="1">
        <v>45017</v>
      </c>
      <c r="S903" t="s">
        <v>68</v>
      </c>
      <c r="T903" s="1">
        <v>45047</v>
      </c>
      <c r="U903">
        <v>2023</v>
      </c>
    </row>
    <row r="904" spans="1:21" x14ac:dyDescent="0.3">
      <c r="A904" t="s">
        <v>1014</v>
      </c>
      <c r="B904" t="s">
        <v>72</v>
      </c>
      <c r="C904" t="s">
        <v>47</v>
      </c>
      <c r="D904" t="s">
        <v>219</v>
      </c>
      <c r="E904" s="1">
        <v>44970</v>
      </c>
      <c r="F904" t="s">
        <v>49</v>
      </c>
      <c r="G904" t="s">
        <v>64</v>
      </c>
      <c r="H904">
        <v>1</v>
      </c>
      <c r="I904">
        <v>66894</v>
      </c>
      <c r="J904">
        <v>66894</v>
      </c>
      <c r="K904">
        <v>24750</v>
      </c>
      <c r="L904">
        <v>8473</v>
      </c>
      <c r="M904">
        <v>33671</v>
      </c>
      <c r="N904">
        <v>36</v>
      </c>
      <c r="O904" t="s">
        <v>50</v>
      </c>
      <c r="P904" t="s">
        <v>51</v>
      </c>
      <c r="Q904" s="1">
        <v>44969</v>
      </c>
      <c r="R904" s="1">
        <v>44927</v>
      </c>
      <c r="S904" t="s">
        <v>85</v>
      </c>
      <c r="T904" s="1">
        <v>44958</v>
      </c>
      <c r="U904">
        <v>2023</v>
      </c>
    </row>
    <row r="905" spans="1:21" x14ac:dyDescent="0.3">
      <c r="A905" t="s">
        <v>1015</v>
      </c>
      <c r="B905" t="s">
        <v>72</v>
      </c>
      <c r="C905" t="s">
        <v>47</v>
      </c>
      <c r="D905" t="s">
        <v>190</v>
      </c>
      <c r="E905" s="1">
        <v>45228</v>
      </c>
      <c r="F905" t="s">
        <v>57</v>
      </c>
      <c r="G905" t="s">
        <v>41</v>
      </c>
      <c r="H905">
        <v>3</v>
      </c>
      <c r="I905">
        <v>11523</v>
      </c>
      <c r="J905">
        <v>34569</v>
      </c>
      <c r="K905">
        <v>20634</v>
      </c>
      <c r="L905">
        <v>5280</v>
      </c>
      <c r="M905">
        <v>8655</v>
      </c>
      <c r="N905">
        <v>17</v>
      </c>
      <c r="O905" t="s">
        <v>61</v>
      </c>
      <c r="P905" t="s">
        <v>28</v>
      </c>
      <c r="Q905" s="1">
        <v>45228</v>
      </c>
      <c r="R905" s="1">
        <v>45200</v>
      </c>
      <c r="S905" t="s">
        <v>52</v>
      </c>
      <c r="T905" s="1">
        <v>45200</v>
      </c>
      <c r="U905">
        <v>2023</v>
      </c>
    </row>
    <row r="906" spans="1:21" x14ac:dyDescent="0.3">
      <c r="A906" t="s">
        <v>1016</v>
      </c>
      <c r="B906" t="s">
        <v>46</v>
      </c>
      <c r="C906" t="s">
        <v>47</v>
      </c>
      <c r="D906" t="s">
        <v>73</v>
      </c>
      <c r="E906" s="1">
        <v>45251</v>
      </c>
      <c r="F906" t="s">
        <v>40</v>
      </c>
      <c r="G906" t="s">
        <v>98</v>
      </c>
      <c r="H906">
        <v>1</v>
      </c>
      <c r="I906">
        <v>5375</v>
      </c>
      <c r="J906">
        <v>5375</v>
      </c>
      <c r="K906">
        <v>1822</v>
      </c>
      <c r="L906">
        <v>654</v>
      </c>
      <c r="M906">
        <v>2899</v>
      </c>
      <c r="N906">
        <v>46</v>
      </c>
      <c r="O906" t="s">
        <v>27</v>
      </c>
      <c r="P906" t="s">
        <v>62</v>
      </c>
      <c r="Q906" s="1">
        <v>45249</v>
      </c>
      <c r="R906" s="1">
        <v>45200</v>
      </c>
      <c r="S906" t="s">
        <v>138</v>
      </c>
      <c r="T906" s="1">
        <v>45231</v>
      </c>
      <c r="U906">
        <v>2023</v>
      </c>
    </row>
    <row r="907" spans="1:21" x14ac:dyDescent="0.3">
      <c r="A907" t="s">
        <v>1017</v>
      </c>
      <c r="B907" t="s">
        <v>22</v>
      </c>
      <c r="C907" t="s">
        <v>23</v>
      </c>
      <c r="D907" t="s">
        <v>117</v>
      </c>
      <c r="E907" s="1">
        <v>44933</v>
      </c>
      <c r="F907" t="s">
        <v>49</v>
      </c>
      <c r="G907" t="s">
        <v>33</v>
      </c>
      <c r="H907">
        <v>4</v>
      </c>
      <c r="I907">
        <v>62073</v>
      </c>
      <c r="J907">
        <v>248292</v>
      </c>
      <c r="K907">
        <v>76384</v>
      </c>
      <c r="L907">
        <v>36887</v>
      </c>
      <c r="M907">
        <v>135021</v>
      </c>
      <c r="N907">
        <v>20</v>
      </c>
      <c r="O907" t="s">
        <v>61</v>
      </c>
      <c r="P907" t="s">
        <v>67</v>
      </c>
      <c r="Q907" s="1">
        <v>44927</v>
      </c>
      <c r="R907" s="1">
        <v>44927</v>
      </c>
      <c r="S907" t="s">
        <v>95</v>
      </c>
      <c r="T907" s="1">
        <v>44927</v>
      </c>
      <c r="U907">
        <v>2023</v>
      </c>
    </row>
    <row r="908" spans="1:21" x14ac:dyDescent="0.3">
      <c r="A908" t="s">
        <v>1018</v>
      </c>
      <c r="B908" t="s">
        <v>37</v>
      </c>
      <c r="C908" t="s">
        <v>38</v>
      </c>
      <c r="D908" t="s">
        <v>48</v>
      </c>
      <c r="E908" s="1">
        <v>45203</v>
      </c>
      <c r="F908" t="s">
        <v>57</v>
      </c>
      <c r="G908" t="s">
        <v>81</v>
      </c>
      <c r="H908">
        <v>5</v>
      </c>
      <c r="I908">
        <v>27734</v>
      </c>
      <c r="J908">
        <v>138670</v>
      </c>
      <c r="K908">
        <v>74125</v>
      </c>
      <c r="L908">
        <v>19912</v>
      </c>
      <c r="M908">
        <v>44633</v>
      </c>
      <c r="N908">
        <v>44</v>
      </c>
      <c r="O908" t="s">
        <v>61</v>
      </c>
      <c r="P908" t="s">
        <v>43</v>
      </c>
      <c r="Q908" s="1">
        <v>45200</v>
      </c>
      <c r="R908" s="1">
        <v>45200</v>
      </c>
      <c r="S908" t="s">
        <v>52</v>
      </c>
      <c r="T908" s="1">
        <v>45200</v>
      </c>
      <c r="U908">
        <v>2023</v>
      </c>
    </row>
    <row r="909" spans="1:21" x14ac:dyDescent="0.3">
      <c r="A909" t="s">
        <v>1019</v>
      </c>
      <c r="B909" t="s">
        <v>72</v>
      </c>
      <c r="C909" t="s">
        <v>47</v>
      </c>
      <c r="D909" t="s">
        <v>145</v>
      </c>
      <c r="E909" s="1">
        <v>44946</v>
      </c>
      <c r="F909" t="s">
        <v>49</v>
      </c>
      <c r="G909" t="s">
        <v>98</v>
      </c>
      <c r="H909">
        <v>6</v>
      </c>
      <c r="I909">
        <v>27007</v>
      </c>
      <c r="J909">
        <v>162042</v>
      </c>
      <c r="K909">
        <v>87509</v>
      </c>
      <c r="L909">
        <v>30749</v>
      </c>
      <c r="M909">
        <v>43784</v>
      </c>
      <c r="N909">
        <v>1</v>
      </c>
      <c r="O909" t="s">
        <v>42</v>
      </c>
      <c r="P909" t="s">
        <v>99</v>
      </c>
      <c r="Q909" s="1">
        <v>44941</v>
      </c>
      <c r="R909" s="1">
        <v>44927</v>
      </c>
      <c r="S909" t="s">
        <v>95</v>
      </c>
      <c r="T909" s="1">
        <v>44927</v>
      </c>
      <c r="U909">
        <v>2023</v>
      </c>
    </row>
    <row r="910" spans="1:21" x14ac:dyDescent="0.3">
      <c r="A910" t="s">
        <v>1020</v>
      </c>
      <c r="B910" t="s">
        <v>46</v>
      </c>
      <c r="C910" t="s">
        <v>47</v>
      </c>
      <c r="D910" t="s">
        <v>24</v>
      </c>
      <c r="E910" s="1">
        <v>44952</v>
      </c>
      <c r="F910" t="s">
        <v>49</v>
      </c>
      <c r="G910" t="s">
        <v>81</v>
      </c>
      <c r="H910">
        <v>4</v>
      </c>
      <c r="I910">
        <v>31600</v>
      </c>
      <c r="J910">
        <v>126400</v>
      </c>
      <c r="K910">
        <v>51062</v>
      </c>
      <c r="L910">
        <v>17144</v>
      </c>
      <c r="M910">
        <v>58194</v>
      </c>
      <c r="N910">
        <v>24</v>
      </c>
      <c r="O910" t="s">
        <v>27</v>
      </c>
      <c r="P910" t="s">
        <v>84</v>
      </c>
      <c r="Q910" s="1">
        <v>44948</v>
      </c>
      <c r="R910" s="1">
        <v>44927</v>
      </c>
      <c r="S910" t="s">
        <v>95</v>
      </c>
      <c r="T910" s="1">
        <v>44927</v>
      </c>
      <c r="U910">
        <v>2023</v>
      </c>
    </row>
    <row r="911" spans="1:21" x14ac:dyDescent="0.3">
      <c r="A911" t="s">
        <v>1021</v>
      </c>
      <c r="B911" t="s">
        <v>72</v>
      </c>
      <c r="C911" t="s">
        <v>47</v>
      </c>
      <c r="D911" t="s">
        <v>24</v>
      </c>
      <c r="E911" s="1">
        <v>44989</v>
      </c>
      <c r="F911" t="s">
        <v>57</v>
      </c>
      <c r="G911" t="s">
        <v>58</v>
      </c>
      <c r="H911">
        <v>10</v>
      </c>
      <c r="I911">
        <v>39696</v>
      </c>
      <c r="J911">
        <v>396960</v>
      </c>
      <c r="K911">
        <v>168163</v>
      </c>
      <c r="L911">
        <v>68289</v>
      </c>
      <c r="M911">
        <v>160508</v>
      </c>
      <c r="N911">
        <v>50</v>
      </c>
      <c r="O911" t="s">
        <v>27</v>
      </c>
      <c r="P911" t="s">
        <v>67</v>
      </c>
      <c r="Q911" s="1">
        <v>44983</v>
      </c>
      <c r="R911" s="1">
        <v>44927</v>
      </c>
      <c r="S911" t="s">
        <v>44</v>
      </c>
      <c r="T911" s="1">
        <v>44986</v>
      </c>
      <c r="U911">
        <v>2023</v>
      </c>
    </row>
    <row r="912" spans="1:21" x14ac:dyDescent="0.3">
      <c r="A912" t="s">
        <v>1022</v>
      </c>
      <c r="B912" t="s">
        <v>46</v>
      </c>
      <c r="C912" t="s">
        <v>47</v>
      </c>
      <c r="D912" t="s">
        <v>301</v>
      </c>
      <c r="E912" s="1">
        <v>45054</v>
      </c>
      <c r="F912" t="s">
        <v>40</v>
      </c>
      <c r="G912" t="s">
        <v>33</v>
      </c>
      <c r="H912">
        <v>2</v>
      </c>
      <c r="I912">
        <v>65602</v>
      </c>
      <c r="J912">
        <v>131204</v>
      </c>
      <c r="K912">
        <v>62792</v>
      </c>
      <c r="L912">
        <v>22178</v>
      </c>
      <c r="M912">
        <v>46234</v>
      </c>
      <c r="N912">
        <v>15</v>
      </c>
      <c r="O912" t="s">
        <v>61</v>
      </c>
      <c r="P912" t="s">
        <v>51</v>
      </c>
      <c r="Q912" s="1">
        <v>45053</v>
      </c>
      <c r="R912" s="1">
        <v>45017</v>
      </c>
      <c r="S912" t="s">
        <v>68</v>
      </c>
      <c r="T912" s="1">
        <v>45047</v>
      </c>
      <c r="U912">
        <v>2023</v>
      </c>
    </row>
    <row r="913" spans="1:21" x14ac:dyDescent="0.3">
      <c r="A913" t="s">
        <v>1023</v>
      </c>
      <c r="B913" t="s">
        <v>37</v>
      </c>
      <c r="C913" t="s">
        <v>38</v>
      </c>
      <c r="D913" t="s">
        <v>101</v>
      </c>
      <c r="E913" s="1">
        <v>45052</v>
      </c>
      <c r="F913" t="s">
        <v>57</v>
      </c>
      <c r="G913" t="s">
        <v>26</v>
      </c>
      <c r="H913">
        <v>7</v>
      </c>
      <c r="I913">
        <v>62931</v>
      </c>
      <c r="J913">
        <v>440517</v>
      </c>
      <c r="K913">
        <v>243945</v>
      </c>
      <c r="L913">
        <v>50584</v>
      </c>
      <c r="M913">
        <v>145988</v>
      </c>
      <c r="N913">
        <v>41</v>
      </c>
      <c r="O913" t="s">
        <v>34</v>
      </c>
      <c r="P913" t="s">
        <v>67</v>
      </c>
      <c r="Q913" s="1">
        <v>45046</v>
      </c>
      <c r="R913" s="1">
        <v>45017</v>
      </c>
      <c r="S913" t="s">
        <v>68</v>
      </c>
      <c r="T913" s="1">
        <v>45047</v>
      </c>
      <c r="U913">
        <v>2023</v>
      </c>
    </row>
    <row r="914" spans="1:21" x14ac:dyDescent="0.3">
      <c r="A914" t="s">
        <v>1024</v>
      </c>
      <c r="B914" t="s">
        <v>37</v>
      </c>
      <c r="C914" t="s">
        <v>38</v>
      </c>
      <c r="D914" t="s">
        <v>80</v>
      </c>
      <c r="E914" s="1">
        <v>45197</v>
      </c>
      <c r="F914" t="s">
        <v>49</v>
      </c>
      <c r="G914" t="s">
        <v>81</v>
      </c>
      <c r="H914">
        <v>6</v>
      </c>
      <c r="I914">
        <v>52754</v>
      </c>
      <c r="J914">
        <v>316524</v>
      </c>
      <c r="K914">
        <v>99517</v>
      </c>
      <c r="L914">
        <v>62969</v>
      </c>
      <c r="M914">
        <v>154038</v>
      </c>
      <c r="N914">
        <v>24</v>
      </c>
      <c r="O914" t="s">
        <v>34</v>
      </c>
      <c r="P914" t="s">
        <v>84</v>
      </c>
      <c r="Q914" s="1">
        <v>45193</v>
      </c>
      <c r="R914" s="1">
        <v>45108</v>
      </c>
      <c r="S914" t="s">
        <v>104</v>
      </c>
      <c r="T914" s="1">
        <v>45170</v>
      </c>
      <c r="U914">
        <v>2023</v>
      </c>
    </row>
    <row r="915" spans="1:21" x14ac:dyDescent="0.3">
      <c r="A915" t="s">
        <v>1025</v>
      </c>
      <c r="B915" t="s">
        <v>31</v>
      </c>
      <c r="C915" t="s">
        <v>23</v>
      </c>
      <c r="D915" t="s">
        <v>133</v>
      </c>
      <c r="E915" s="1">
        <v>45215</v>
      </c>
      <c r="F915" t="s">
        <v>57</v>
      </c>
      <c r="G915" t="s">
        <v>81</v>
      </c>
      <c r="H915">
        <v>8</v>
      </c>
      <c r="I915">
        <v>59115</v>
      </c>
      <c r="J915">
        <v>472920</v>
      </c>
      <c r="K915">
        <v>238376</v>
      </c>
      <c r="L915">
        <v>74590</v>
      </c>
      <c r="M915">
        <v>159954</v>
      </c>
      <c r="N915">
        <v>44</v>
      </c>
      <c r="O915" t="s">
        <v>42</v>
      </c>
      <c r="P915" t="s">
        <v>51</v>
      </c>
      <c r="Q915" s="1">
        <v>45214</v>
      </c>
      <c r="R915" s="1">
        <v>45200</v>
      </c>
      <c r="S915" t="s">
        <v>52</v>
      </c>
      <c r="T915" s="1">
        <v>45200</v>
      </c>
      <c r="U915">
        <v>2023</v>
      </c>
    </row>
    <row r="916" spans="1:21" x14ac:dyDescent="0.3">
      <c r="A916" t="s">
        <v>1026</v>
      </c>
      <c r="B916" t="s">
        <v>72</v>
      </c>
      <c r="C916" t="s">
        <v>47</v>
      </c>
      <c r="D916" t="s">
        <v>148</v>
      </c>
      <c r="E916" s="1">
        <v>45184</v>
      </c>
      <c r="F916" t="s">
        <v>25</v>
      </c>
      <c r="G916" t="s">
        <v>58</v>
      </c>
      <c r="H916">
        <v>7</v>
      </c>
      <c r="I916">
        <v>30805</v>
      </c>
      <c r="J916">
        <v>215635</v>
      </c>
      <c r="K916">
        <v>70601</v>
      </c>
      <c r="L916">
        <v>36102</v>
      </c>
      <c r="M916">
        <v>108932</v>
      </c>
      <c r="N916">
        <v>32</v>
      </c>
      <c r="O916" t="s">
        <v>42</v>
      </c>
      <c r="P916" t="s">
        <v>99</v>
      </c>
      <c r="Q916" s="1">
        <v>45179</v>
      </c>
      <c r="R916" s="1">
        <v>45108</v>
      </c>
      <c r="S916" t="s">
        <v>104</v>
      </c>
      <c r="T916" s="1">
        <v>45170</v>
      </c>
      <c r="U916">
        <v>2023</v>
      </c>
    </row>
    <row r="917" spans="1:21" x14ac:dyDescent="0.3">
      <c r="A917" t="s">
        <v>1027</v>
      </c>
      <c r="B917" t="s">
        <v>37</v>
      </c>
      <c r="C917" t="s">
        <v>38</v>
      </c>
      <c r="D917" t="s">
        <v>152</v>
      </c>
      <c r="E917" s="1">
        <v>45121</v>
      </c>
      <c r="F917" t="s">
        <v>49</v>
      </c>
      <c r="G917" t="s">
        <v>41</v>
      </c>
      <c r="H917">
        <v>3</v>
      </c>
      <c r="I917">
        <v>37676</v>
      </c>
      <c r="J917">
        <v>113028</v>
      </c>
      <c r="K917">
        <v>54094</v>
      </c>
      <c r="L917">
        <v>14194</v>
      </c>
      <c r="M917">
        <v>44740</v>
      </c>
      <c r="N917">
        <v>50</v>
      </c>
      <c r="O917" t="s">
        <v>34</v>
      </c>
      <c r="P917" t="s">
        <v>99</v>
      </c>
      <c r="Q917" s="1">
        <v>45116</v>
      </c>
      <c r="R917" s="1">
        <v>45108</v>
      </c>
      <c r="S917" t="s">
        <v>29</v>
      </c>
      <c r="T917" s="1">
        <v>45108</v>
      </c>
      <c r="U917">
        <v>2023</v>
      </c>
    </row>
    <row r="918" spans="1:21" x14ac:dyDescent="0.3">
      <c r="A918" t="s">
        <v>1028</v>
      </c>
      <c r="B918" t="s">
        <v>22</v>
      </c>
      <c r="C918" t="s">
        <v>23</v>
      </c>
      <c r="D918" t="s">
        <v>142</v>
      </c>
      <c r="E918" s="1">
        <v>45013</v>
      </c>
      <c r="F918" t="s">
        <v>40</v>
      </c>
      <c r="G918" t="s">
        <v>41</v>
      </c>
      <c r="H918">
        <v>5</v>
      </c>
      <c r="I918">
        <v>57813</v>
      </c>
      <c r="J918">
        <v>289065</v>
      </c>
      <c r="K918">
        <v>149275</v>
      </c>
      <c r="L918">
        <v>54753</v>
      </c>
      <c r="M918">
        <v>85037</v>
      </c>
      <c r="N918">
        <v>15</v>
      </c>
      <c r="O918" t="s">
        <v>61</v>
      </c>
      <c r="P918" t="s">
        <v>62</v>
      </c>
      <c r="Q918" s="1">
        <v>45011</v>
      </c>
      <c r="R918" s="1">
        <v>44927</v>
      </c>
      <c r="S918" t="s">
        <v>44</v>
      </c>
      <c r="T918" s="1">
        <v>44986</v>
      </c>
      <c r="U918">
        <v>2023</v>
      </c>
    </row>
    <row r="919" spans="1:21" x14ac:dyDescent="0.3">
      <c r="A919" t="s">
        <v>1029</v>
      </c>
      <c r="B919" t="s">
        <v>46</v>
      </c>
      <c r="C919" t="s">
        <v>47</v>
      </c>
      <c r="D919" t="s">
        <v>97</v>
      </c>
      <c r="E919" s="1">
        <v>45076</v>
      </c>
      <c r="F919" t="s">
        <v>40</v>
      </c>
      <c r="G919" t="s">
        <v>41</v>
      </c>
      <c r="H919">
        <v>3</v>
      </c>
      <c r="I919">
        <v>60181</v>
      </c>
      <c r="J919">
        <v>180543</v>
      </c>
      <c r="K919">
        <v>95277</v>
      </c>
      <c r="L919">
        <v>29034</v>
      </c>
      <c r="M919">
        <v>56232</v>
      </c>
      <c r="N919">
        <v>27</v>
      </c>
      <c r="O919" t="s">
        <v>42</v>
      </c>
      <c r="P919" t="s">
        <v>62</v>
      </c>
      <c r="Q919" s="1">
        <v>45074</v>
      </c>
      <c r="R919" s="1">
        <v>45017</v>
      </c>
      <c r="S919" t="s">
        <v>68</v>
      </c>
      <c r="T919" s="1">
        <v>45047</v>
      </c>
      <c r="U919">
        <v>2023</v>
      </c>
    </row>
    <row r="920" spans="1:21" x14ac:dyDescent="0.3">
      <c r="A920" t="s">
        <v>1030</v>
      </c>
      <c r="B920" t="s">
        <v>31</v>
      </c>
      <c r="C920" t="s">
        <v>23</v>
      </c>
      <c r="D920" t="s">
        <v>168</v>
      </c>
      <c r="E920" s="1">
        <v>45028</v>
      </c>
      <c r="F920" t="s">
        <v>49</v>
      </c>
      <c r="G920" t="s">
        <v>64</v>
      </c>
      <c r="H920">
        <v>4</v>
      </c>
      <c r="I920">
        <v>7675</v>
      </c>
      <c r="J920">
        <v>30700</v>
      </c>
      <c r="K920">
        <v>14979</v>
      </c>
      <c r="L920">
        <v>3378</v>
      </c>
      <c r="M920">
        <v>12343</v>
      </c>
      <c r="N920">
        <v>21</v>
      </c>
      <c r="O920" t="s">
        <v>34</v>
      </c>
      <c r="P920" t="s">
        <v>43</v>
      </c>
      <c r="Q920" s="1">
        <v>45025</v>
      </c>
      <c r="R920" s="1">
        <v>45017</v>
      </c>
      <c r="S920" t="s">
        <v>74</v>
      </c>
      <c r="T920" s="1">
        <v>45017</v>
      </c>
      <c r="U920">
        <v>2023</v>
      </c>
    </row>
    <row r="921" spans="1:21" x14ac:dyDescent="0.3">
      <c r="A921" t="s">
        <v>1031</v>
      </c>
      <c r="B921" t="s">
        <v>22</v>
      </c>
      <c r="C921" t="s">
        <v>23</v>
      </c>
      <c r="D921" t="s">
        <v>66</v>
      </c>
      <c r="E921" s="1">
        <v>45229</v>
      </c>
      <c r="F921" t="s">
        <v>40</v>
      </c>
      <c r="G921" t="s">
        <v>81</v>
      </c>
      <c r="H921">
        <v>6</v>
      </c>
      <c r="I921">
        <v>14963</v>
      </c>
      <c r="J921">
        <v>89778</v>
      </c>
      <c r="K921">
        <v>36379</v>
      </c>
      <c r="L921">
        <v>11716</v>
      </c>
      <c r="M921">
        <v>41683</v>
      </c>
      <c r="N921">
        <v>7</v>
      </c>
      <c r="O921" t="s">
        <v>50</v>
      </c>
      <c r="P921" t="s">
        <v>51</v>
      </c>
      <c r="Q921" s="1">
        <v>45228</v>
      </c>
      <c r="R921" s="1">
        <v>45200</v>
      </c>
      <c r="S921" t="s">
        <v>52</v>
      </c>
      <c r="T921" s="1">
        <v>45200</v>
      </c>
      <c r="U921">
        <v>2023</v>
      </c>
    </row>
    <row r="922" spans="1:21" x14ac:dyDescent="0.3">
      <c r="A922" t="s">
        <v>1032</v>
      </c>
      <c r="B922" t="s">
        <v>22</v>
      </c>
      <c r="C922" t="s">
        <v>23</v>
      </c>
      <c r="D922" t="s">
        <v>80</v>
      </c>
      <c r="E922" s="1">
        <v>44994</v>
      </c>
      <c r="F922" t="s">
        <v>49</v>
      </c>
      <c r="G922" t="s">
        <v>64</v>
      </c>
      <c r="H922">
        <v>10</v>
      </c>
      <c r="I922">
        <v>35195</v>
      </c>
      <c r="J922">
        <v>351950</v>
      </c>
      <c r="K922">
        <v>136552</v>
      </c>
      <c r="L922">
        <v>53051</v>
      </c>
      <c r="M922">
        <v>162347</v>
      </c>
      <c r="N922">
        <v>13</v>
      </c>
      <c r="O922" t="s">
        <v>50</v>
      </c>
      <c r="P922" t="s">
        <v>84</v>
      </c>
      <c r="Q922" s="1">
        <v>44990</v>
      </c>
      <c r="R922" s="1">
        <v>44927</v>
      </c>
      <c r="S922" t="s">
        <v>44</v>
      </c>
      <c r="T922" s="1">
        <v>44986</v>
      </c>
      <c r="U922">
        <v>2023</v>
      </c>
    </row>
    <row r="923" spans="1:21" x14ac:dyDescent="0.3">
      <c r="A923" t="s">
        <v>1033</v>
      </c>
      <c r="B923" t="s">
        <v>37</v>
      </c>
      <c r="C923" t="s">
        <v>38</v>
      </c>
      <c r="D923" t="s">
        <v>145</v>
      </c>
      <c r="E923" s="1">
        <v>45033</v>
      </c>
      <c r="F923" t="s">
        <v>40</v>
      </c>
      <c r="G923" t="s">
        <v>98</v>
      </c>
      <c r="H923">
        <v>1</v>
      </c>
      <c r="I923">
        <v>29333</v>
      </c>
      <c r="J923">
        <v>29333</v>
      </c>
      <c r="K923">
        <v>14517</v>
      </c>
      <c r="L923">
        <v>4426</v>
      </c>
      <c r="M923">
        <v>10390</v>
      </c>
      <c r="N923">
        <v>14</v>
      </c>
      <c r="O923" t="s">
        <v>27</v>
      </c>
      <c r="P923" t="s">
        <v>51</v>
      </c>
      <c r="Q923" s="1">
        <v>45032</v>
      </c>
      <c r="R923" s="1">
        <v>45017</v>
      </c>
      <c r="S923" t="s">
        <v>74</v>
      </c>
      <c r="T923" s="1">
        <v>45017</v>
      </c>
      <c r="U923">
        <v>2023</v>
      </c>
    </row>
    <row r="924" spans="1:21" x14ac:dyDescent="0.3">
      <c r="A924" t="s">
        <v>1034</v>
      </c>
      <c r="B924" t="s">
        <v>46</v>
      </c>
      <c r="C924" t="s">
        <v>47</v>
      </c>
      <c r="D924" t="s">
        <v>163</v>
      </c>
      <c r="E924" s="1">
        <v>45192</v>
      </c>
      <c r="F924" t="s">
        <v>25</v>
      </c>
      <c r="G924" t="s">
        <v>81</v>
      </c>
      <c r="H924">
        <v>8</v>
      </c>
      <c r="I924">
        <v>35598</v>
      </c>
      <c r="J924">
        <v>284784</v>
      </c>
      <c r="K924">
        <v>104463</v>
      </c>
      <c r="L924">
        <v>54898</v>
      </c>
      <c r="M924">
        <v>125423</v>
      </c>
      <c r="N924">
        <v>37</v>
      </c>
      <c r="O924" t="s">
        <v>34</v>
      </c>
      <c r="P924" t="s">
        <v>67</v>
      </c>
      <c r="Q924" s="1">
        <v>45186</v>
      </c>
      <c r="R924" s="1">
        <v>45108</v>
      </c>
      <c r="S924" t="s">
        <v>104</v>
      </c>
      <c r="T924" s="1">
        <v>45170</v>
      </c>
      <c r="U924">
        <v>2023</v>
      </c>
    </row>
    <row r="925" spans="1:21" x14ac:dyDescent="0.3">
      <c r="A925" t="s">
        <v>1035</v>
      </c>
      <c r="B925" t="s">
        <v>37</v>
      </c>
      <c r="C925" t="s">
        <v>38</v>
      </c>
      <c r="D925" t="s">
        <v>209</v>
      </c>
      <c r="E925" s="1">
        <v>44977</v>
      </c>
      <c r="F925" t="s">
        <v>25</v>
      </c>
      <c r="G925" t="s">
        <v>98</v>
      </c>
      <c r="H925">
        <v>8</v>
      </c>
      <c r="I925">
        <v>46296</v>
      </c>
      <c r="J925">
        <v>370368</v>
      </c>
      <c r="K925">
        <v>150411</v>
      </c>
      <c r="L925">
        <v>71220</v>
      </c>
      <c r="M925">
        <v>148737</v>
      </c>
      <c r="N925">
        <v>24</v>
      </c>
      <c r="O925" t="s">
        <v>61</v>
      </c>
      <c r="P925" t="s">
        <v>51</v>
      </c>
      <c r="Q925" s="1">
        <v>44976</v>
      </c>
      <c r="R925" s="1">
        <v>44927</v>
      </c>
      <c r="S925" t="s">
        <v>85</v>
      </c>
      <c r="T925" s="1">
        <v>44958</v>
      </c>
      <c r="U925">
        <v>2023</v>
      </c>
    </row>
    <row r="926" spans="1:21" x14ac:dyDescent="0.3">
      <c r="A926" t="s">
        <v>1036</v>
      </c>
      <c r="B926" t="s">
        <v>37</v>
      </c>
      <c r="C926" t="s">
        <v>38</v>
      </c>
      <c r="D926" t="s">
        <v>188</v>
      </c>
      <c r="E926" s="1">
        <v>45027</v>
      </c>
      <c r="F926" t="s">
        <v>49</v>
      </c>
      <c r="G926" t="s">
        <v>98</v>
      </c>
      <c r="H926">
        <v>10</v>
      </c>
      <c r="I926">
        <v>51661</v>
      </c>
      <c r="J926">
        <v>516610</v>
      </c>
      <c r="K926">
        <v>299830</v>
      </c>
      <c r="L926">
        <v>79815</v>
      </c>
      <c r="M926">
        <v>136965</v>
      </c>
      <c r="N926">
        <v>12</v>
      </c>
      <c r="O926" t="s">
        <v>34</v>
      </c>
      <c r="P926" t="s">
        <v>62</v>
      </c>
      <c r="Q926" s="1">
        <v>45025</v>
      </c>
      <c r="R926" s="1">
        <v>45017</v>
      </c>
      <c r="S926" t="s">
        <v>74</v>
      </c>
      <c r="T926" s="1">
        <v>45017</v>
      </c>
      <c r="U926">
        <v>2023</v>
      </c>
    </row>
    <row r="927" spans="1:21" x14ac:dyDescent="0.3">
      <c r="A927" t="s">
        <v>1037</v>
      </c>
      <c r="B927" t="s">
        <v>37</v>
      </c>
      <c r="C927" t="s">
        <v>38</v>
      </c>
      <c r="D927" t="s">
        <v>256</v>
      </c>
      <c r="E927" s="1">
        <v>45171</v>
      </c>
      <c r="F927" t="s">
        <v>25</v>
      </c>
      <c r="G927" t="s">
        <v>81</v>
      </c>
      <c r="H927">
        <v>10</v>
      </c>
      <c r="I927">
        <v>56900</v>
      </c>
      <c r="J927">
        <v>569000</v>
      </c>
      <c r="K927">
        <v>319208</v>
      </c>
      <c r="L927">
        <v>89728</v>
      </c>
      <c r="M927">
        <v>160064</v>
      </c>
      <c r="N927">
        <v>2</v>
      </c>
      <c r="O927" t="s">
        <v>50</v>
      </c>
      <c r="P927" t="s">
        <v>67</v>
      </c>
      <c r="Q927" s="1">
        <v>45165</v>
      </c>
      <c r="R927" s="1">
        <v>45108</v>
      </c>
      <c r="S927" t="s">
        <v>104</v>
      </c>
      <c r="T927" s="1">
        <v>45170</v>
      </c>
      <c r="U927">
        <v>2023</v>
      </c>
    </row>
    <row r="928" spans="1:21" x14ac:dyDescent="0.3">
      <c r="A928" t="s">
        <v>1038</v>
      </c>
      <c r="B928" t="s">
        <v>31</v>
      </c>
      <c r="C928" t="s">
        <v>23</v>
      </c>
      <c r="D928" t="s">
        <v>89</v>
      </c>
      <c r="E928" s="1">
        <v>45253</v>
      </c>
      <c r="F928" t="s">
        <v>25</v>
      </c>
      <c r="G928" t="s">
        <v>26</v>
      </c>
      <c r="H928">
        <v>6</v>
      </c>
      <c r="I928">
        <v>35824</v>
      </c>
      <c r="J928">
        <v>214944</v>
      </c>
      <c r="K928">
        <v>127619</v>
      </c>
      <c r="L928">
        <v>28087</v>
      </c>
      <c r="M928">
        <v>59238</v>
      </c>
      <c r="N928">
        <v>14</v>
      </c>
      <c r="O928" t="s">
        <v>42</v>
      </c>
      <c r="P928" t="s">
        <v>84</v>
      </c>
      <c r="Q928" s="1">
        <v>45249</v>
      </c>
      <c r="R928" s="1">
        <v>45200</v>
      </c>
      <c r="S928" t="s">
        <v>138</v>
      </c>
      <c r="T928" s="1">
        <v>45231</v>
      </c>
      <c r="U928">
        <v>2023</v>
      </c>
    </row>
    <row r="929" spans="1:21" x14ac:dyDescent="0.3">
      <c r="A929" t="s">
        <v>1039</v>
      </c>
      <c r="B929" t="s">
        <v>46</v>
      </c>
      <c r="C929" t="s">
        <v>47</v>
      </c>
      <c r="D929" t="s">
        <v>219</v>
      </c>
      <c r="E929" s="1">
        <v>45082</v>
      </c>
      <c r="F929" t="s">
        <v>25</v>
      </c>
      <c r="G929" t="s">
        <v>64</v>
      </c>
      <c r="H929">
        <v>4</v>
      </c>
      <c r="I929">
        <v>58879</v>
      </c>
      <c r="J929">
        <v>235516</v>
      </c>
      <c r="K929">
        <v>116114</v>
      </c>
      <c r="L929">
        <v>42898</v>
      </c>
      <c r="M929">
        <v>76504</v>
      </c>
      <c r="N929">
        <v>35</v>
      </c>
      <c r="O929" t="s">
        <v>34</v>
      </c>
      <c r="P929" t="s">
        <v>51</v>
      </c>
      <c r="Q929" s="1">
        <v>45081</v>
      </c>
      <c r="R929" s="1">
        <v>45017</v>
      </c>
      <c r="S929" t="s">
        <v>35</v>
      </c>
      <c r="T929" s="1">
        <v>45078</v>
      </c>
      <c r="U929">
        <v>2023</v>
      </c>
    </row>
    <row r="930" spans="1:21" x14ac:dyDescent="0.3">
      <c r="A930" t="s">
        <v>1040</v>
      </c>
      <c r="B930" t="s">
        <v>72</v>
      </c>
      <c r="C930" t="s">
        <v>47</v>
      </c>
      <c r="D930" t="s">
        <v>91</v>
      </c>
      <c r="E930" s="1">
        <v>45084</v>
      </c>
      <c r="F930" t="s">
        <v>25</v>
      </c>
      <c r="G930" t="s">
        <v>81</v>
      </c>
      <c r="H930">
        <v>4</v>
      </c>
      <c r="I930">
        <v>50222</v>
      </c>
      <c r="J930">
        <v>200888</v>
      </c>
      <c r="K930">
        <v>70582</v>
      </c>
      <c r="L930">
        <v>23602</v>
      </c>
      <c r="M930">
        <v>106704</v>
      </c>
      <c r="N930">
        <v>8</v>
      </c>
      <c r="O930" t="s">
        <v>61</v>
      </c>
      <c r="P930" t="s">
        <v>43</v>
      </c>
      <c r="Q930" s="1">
        <v>45081</v>
      </c>
      <c r="R930" s="1">
        <v>45017</v>
      </c>
      <c r="S930" t="s">
        <v>35</v>
      </c>
      <c r="T930" s="1">
        <v>45078</v>
      </c>
      <c r="U930">
        <v>2023</v>
      </c>
    </row>
    <row r="931" spans="1:21" x14ac:dyDescent="0.3">
      <c r="A931" t="s">
        <v>1041</v>
      </c>
      <c r="B931" t="s">
        <v>46</v>
      </c>
      <c r="C931" t="s">
        <v>47</v>
      </c>
      <c r="D931" t="s">
        <v>83</v>
      </c>
      <c r="E931" s="1">
        <v>45031</v>
      </c>
      <c r="F931" t="s">
        <v>40</v>
      </c>
      <c r="G931" t="s">
        <v>64</v>
      </c>
      <c r="H931">
        <v>2</v>
      </c>
      <c r="I931">
        <v>11632</v>
      </c>
      <c r="J931">
        <v>23264</v>
      </c>
      <c r="K931">
        <v>9117</v>
      </c>
      <c r="L931">
        <v>4543</v>
      </c>
      <c r="M931">
        <v>9604</v>
      </c>
      <c r="N931">
        <v>37</v>
      </c>
      <c r="O931" t="s">
        <v>34</v>
      </c>
      <c r="P931" t="s">
        <v>67</v>
      </c>
      <c r="Q931" s="1">
        <v>45025</v>
      </c>
      <c r="R931" s="1">
        <v>45017</v>
      </c>
      <c r="S931" t="s">
        <v>74</v>
      </c>
      <c r="T931" s="1">
        <v>45017</v>
      </c>
      <c r="U931">
        <v>2023</v>
      </c>
    </row>
    <row r="932" spans="1:21" x14ac:dyDescent="0.3">
      <c r="A932" t="s">
        <v>1042</v>
      </c>
      <c r="B932" t="s">
        <v>22</v>
      </c>
      <c r="C932" t="s">
        <v>23</v>
      </c>
      <c r="D932" t="s">
        <v>190</v>
      </c>
      <c r="E932" s="1">
        <v>45226</v>
      </c>
      <c r="F932" t="s">
        <v>25</v>
      </c>
      <c r="G932" t="s">
        <v>33</v>
      </c>
      <c r="H932">
        <v>1</v>
      </c>
      <c r="I932">
        <v>50567</v>
      </c>
      <c r="J932">
        <v>50567</v>
      </c>
      <c r="K932">
        <v>17499</v>
      </c>
      <c r="L932">
        <v>7245</v>
      </c>
      <c r="M932">
        <v>25823</v>
      </c>
      <c r="N932">
        <v>50</v>
      </c>
      <c r="O932" t="s">
        <v>27</v>
      </c>
      <c r="P932" t="s">
        <v>99</v>
      </c>
      <c r="Q932" s="1">
        <v>45221</v>
      </c>
      <c r="R932" s="1">
        <v>45200</v>
      </c>
      <c r="S932" t="s">
        <v>52</v>
      </c>
      <c r="T932" s="1">
        <v>45200</v>
      </c>
      <c r="U932">
        <v>2023</v>
      </c>
    </row>
    <row r="933" spans="1:21" x14ac:dyDescent="0.3">
      <c r="A933" t="s">
        <v>1043</v>
      </c>
      <c r="B933" t="s">
        <v>31</v>
      </c>
      <c r="C933" t="s">
        <v>23</v>
      </c>
      <c r="D933" t="s">
        <v>78</v>
      </c>
      <c r="E933" s="1">
        <v>45028</v>
      </c>
      <c r="F933" t="s">
        <v>57</v>
      </c>
      <c r="G933" t="s">
        <v>81</v>
      </c>
      <c r="H933">
        <v>10</v>
      </c>
      <c r="I933">
        <v>45044</v>
      </c>
      <c r="J933">
        <v>450440</v>
      </c>
      <c r="K933">
        <v>230784</v>
      </c>
      <c r="L933">
        <v>70821</v>
      </c>
      <c r="M933">
        <v>148835</v>
      </c>
      <c r="N933">
        <v>36</v>
      </c>
      <c r="O933" t="s">
        <v>34</v>
      </c>
      <c r="P933" t="s">
        <v>43</v>
      </c>
      <c r="Q933" s="1">
        <v>45025</v>
      </c>
      <c r="R933" s="1">
        <v>45017</v>
      </c>
      <c r="S933" t="s">
        <v>74</v>
      </c>
      <c r="T933" s="1">
        <v>45017</v>
      </c>
      <c r="U933">
        <v>2023</v>
      </c>
    </row>
    <row r="934" spans="1:21" x14ac:dyDescent="0.3">
      <c r="A934" t="s">
        <v>1044</v>
      </c>
      <c r="B934" t="s">
        <v>72</v>
      </c>
      <c r="C934" t="s">
        <v>47</v>
      </c>
      <c r="D934" t="s">
        <v>168</v>
      </c>
      <c r="E934" s="1">
        <v>45048</v>
      </c>
      <c r="F934" t="s">
        <v>25</v>
      </c>
      <c r="G934" t="s">
        <v>26</v>
      </c>
      <c r="H934">
        <v>8</v>
      </c>
      <c r="I934">
        <v>34196</v>
      </c>
      <c r="J934">
        <v>273568</v>
      </c>
      <c r="K934">
        <v>112321</v>
      </c>
      <c r="L934">
        <v>28533</v>
      </c>
      <c r="M934">
        <v>132714</v>
      </c>
      <c r="N934">
        <v>22</v>
      </c>
      <c r="O934" t="s">
        <v>61</v>
      </c>
      <c r="P934" t="s">
        <v>62</v>
      </c>
      <c r="Q934" s="1">
        <v>45046</v>
      </c>
      <c r="R934" s="1">
        <v>45017</v>
      </c>
      <c r="S934" t="s">
        <v>68</v>
      </c>
      <c r="T934" s="1">
        <v>45047</v>
      </c>
      <c r="U934">
        <v>2023</v>
      </c>
    </row>
    <row r="935" spans="1:21" x14ac:dyDescent="0.3">
      <c r="A935" t="s">
        <v>1045</v>
      </c>
      <c r="B935" t="s">
        <v>46</v>
      </c>
      <c r="C935" t="s">
        <v>47</v>
      </c>
      <c r="D935" t="s">
        <v>125</v>
      </c>
      <c r="E935" s="1">
        <v>44935</v>
      </c>
      <c r="F935" t="s">
        <v>40</v>
      </c>
      <c r="G935" t="s">
        <v>26</v>
      </c>
      <c r="H935">
        <v>2</v>
      </c>
      <c r="I935">
        <v>42128</v>
      </c>
      <c r="J935">
        <v>84256</v>
      </c>
      <c r="K935">
        <v>47297</v>
      </c>
      <c r="L935">
        <v>15862</v>
      </c>
      <c r="M935">
        <v>21097</v>
      </c>
      <c r="N935">
        <v>44</v>
      </c>
      <c r="O935" t="s">
        <v>27</v>
      </c>
      <c r="P935" t="s">
        <v>51</v>
      </c>
      <c r="Q935" s="1">
        <v>44934</v>
      </c>
      <c r="R935" s="1">
        <v>44927</v>
      </c>
      <c r="S935" t="s">
        <v>95</v>
      </c>
      <c r="T935" s="1">
        <v>44927</v>
      </c>
      <c r="U935">
        <v>2023</v>
      </c>
    </row>
    <row r="936" spans="1:21" x14ac:dyDescent="0.3">
      <c r="A936" t="s">
        <v>1046</v>
      </c>
      <c r="B936" t="s">
        <v>37</v>
      </c>
      <c r="C936" t="s">
        <v>38</v>
      </c>
      <c r="D936" t="s">
        <v>174</v>
      </c>
      <c r="E936" s="1">
        <v>45221</v>
      </c>
      <c r="F936" t="s">
        <v>40</v>
      </c>
      <c r="G936" t="s">
        <v>58</v>
      </c>
      <c r="H936">
        <v>2</v>
      </c>
      <c r="I936">
        <v>29105</v>
      </c>
      <c r="J936">
        <v>58210</v>
      </c>
      <c r="K936">
        <v>30055</v>
      </c>
      <c r="L936">
        <v>7911</v>
      </c>
      <c r="M936">
        <v>20244</v>
      </c>
      <c r="N936">
        <v>3</v>
      </c>
      <c r="O936" t="s">
        <v>50</v>
      </c>
      <c r="P936" t="s">
        <v>28</v>
      </c>
      <c r="Q936" s="1">
        <v>45221</v>
      </c>
      <c r="R936" s="1">
        <v>45200</v>
      </c>
      <c r="S936" t="s">
        <v>52</v>
      </c>
      <c r="T936" s="1">
        <v>45200</v>
      </c>
      <c r="U936">
        <v>2023</v>
      </c>
    </row>
    <row r="937" spans="1:21" x14ac:dyDescent="0.3">
      <c r="A937" t="s">
        <v>1047</v>
      </c>
      <c r="B937" t="s">
        <v>31</v>
      </c>
      <c r="C937" t="s">
        <v>23</v>
      </c>
      <c r="D937" t="s">
        <v>56</v>
      </c>
      <c r="E937" s="1">
        <v>44971</v>
      </c>
      <c r="F937" t="s">
        <v>49</v>
      </c>
      <c r="G937" t="s">
        <v>98</v>
      </c>
      <c r="H937">
        <v>2</v>
      </c>
      <c r="I937">
        <v>23015</v>
      </c>
      <c r="J937">
        <v>46030</v>
      </c>
      <c r="K937">
        <v>21405</v>
      </c>
      <c r="L937">
        <v>7989</v>
      </c>
      <c r="M937">
        <v>16636</v>
      </c>
      <c r="N937">
        <v>0</v>
      </c>
      <c r="O937" t="s">
        <v>61</v>
      </c>
      <c r="P937" t="s">
        <v>62</v>
      </c>
      <c r="Q937" s="1">
        <v>44969</v>
      </c>
      <c r="R937" s="1">
        <v>44927</v>
      </c>
      <c r="S937" t="s">
        <v>85</v>
      </c>
      <c r="T937" s="1">
        <v>44958</v>
      </c>
      <c r="U937">
        <v>2023</v>
      </c>
    </row>
    <row r="938" spans="1:21" x14ac:dyDescent="0.3">
      <c r="A938" t="s">
        <v>1048</v>
      </c>
      <c r="B938" t="s">
        <v>22</v>
      </c>
      <c r="C938" t="s">
        <v>23</v>
      </c>
      <c r="D938" t="s">
        <v>24</v>
      </c>
      <c r="E938" s="1">
        <v>45042</v>
      </c>
      <c r="F938" t="s">
        <v>25</v>
      </c>
      <c r="G938" t="s">
        <v>81</v>
      </c>
      <c r="H938">
        <v>9</v>
      </c>
      <c r="I938">
        <v>11229</v>
      </c>
      <c r="J938">
        <v>101061</v>
      </c>
      <c r="K938">
        <v>60635</v>
      </c>
      <c r="L938">
        <v>17750</v>
      </c>
      <c r="M938">
        <v>22676</v>
      </c>
      <c r="N938">
        <v>47</v>
      </c>
      <c r="O938" t="s">
        <v>27</v>
      </c>
      <c r="P938" t="s">
        <v>43</v>
      </c>
      <c r="Q938" s="1">
        <v>45039</v>
      </c>
      <c r="R938" s="1">
        <v>45017</v>
      </c>
      <c r="S938" t="s">
        <v>74</v>
      </c>
      <c r="T938" s="1">
        <v>45017</v>
      </c>
      <c r="U938">
        <v>2023</v>
      </c>
    </row>
    <row r="939" spans="1:21" x14ac:dyDescent="0.3">
      <c r="A939" t="s">
        <v>1049</v>
      </c>
      <c r="B939" t="s">
        <v>46</v>
      </c>
      <c r="C939" t="s">
        <v>47</v>
      </c>
      <c r="D939" t="s">
        <v>87</v>
      </c>
      <c r="E939" s="1">
        <v>44939</v>
      </c>
      <c r="F939" t="s">
        <v>40</v>
      </c>
      <c r="G939" t="s">
        <v>58</v>
      </c>
      <c r="H939">
        <v>5</v>
      </c>
      <c r="I939">
        <v>60442</v>
      </c>
      <c r="J939">
        <v>302210</v>
      </c>
      <c r="K939">
        <v>145019</v>
      </c>
      <c r="L939">
        <v>34403</v>
      </c>
      <c r="M939">
        <v>122788</v>
      </c>
      <c r="N939">
        <v>10</v>
      </c>
      <c r="O939" t="s">
        <v>42</v>
      </c>
      <c r="P939" t="s">
        <v>99</v>
      </c>
      <c r="Q939" s="1">
        <v>44934</v>
      </c>
      <c r="R939" s="1">
        <v>44927</v>
      </c>
      <c r="S939" t="s">
        <v>95</v>
      </c>
      <c r="T939" s="1">
        <v>44927</v>
      </c>
      <c r="U939">
        <v>2023</v>
      </c>
    </row>
    <row r="940" spans="1:21" x14ac:dyDescent="0.3">
      <c r="A940" t="s">
        <v>1050</v>
      </c>
      <c r="B940" t="s">
        <v>37</v>
      </c>
      <c r="C940" t="s">
        <v>38</v>
      </c>
      <c r="D940" t="s">
        <v>48</v>
      </c>
      <c r="E940" s="1">
        <v>45219</v>
      </c>
      <c r="F940" t="s">
        <v>49</v>
      </c>
      <c r="G940" t="s">
        <v>81</v>
      </c>
      <c r="H940">
        <v>6</v>
      </c>
      <c r="I940">
        <v>33652</v>
      </c>
      <c r="J940">
        <v>201912</v>
      </c>
      <c r="K940">
        <v>75817</v>
      </c>
      <c r="L940">
        <v>31074</v>
      </c>
      <c r="M940">
        <v>95021</v>
      </c>
      <c r="N940">
        <v>12</v>
      </c>
      <c r="O940" t="s">
        <v>61</v>
      </c>
      <c r="P940" t="s">
        <v>99</v>
      </c>
      <c r="Q940" s="1">
        <v>45214</v>
      </c>
      <c r="R940" s="1">
        <v>45200</v>
      </c>
      <c r="S940" t="s">
        <v>52</v>
      </c>
      <c r="T940" s="1">
        <v>45200</v>
      </c>
      <c r="U940">
        <v>2023</v>
      </c>
    </row>
    <row r="941" spans="1:21" x14ac:dyDescent="0.3">
      <c r="A941" t="s">
        <v>1051</v>
      </c>
      <c r="B941" t="s">
        <v>46</v>
      </c>
      <c r="C941" t="s">
        <v>47</v>
      </c>
      <c r="D941" t="s">
        <v>101</v>
      </c>
      <c r="E941" s="1">
        <v>44964</v>
      </c>
      <c r="F941" t="s">
        <v>49</v>
      </c>
      <c r="G941" t="s">
        <v>58</v>
      </c>
      <c r="H941">
        <v>3</v>
      </c>
      <c r="I941">
        <v>20156</v>
      </c>
      <c r="J941">
        <v>60468</v>
      </c>
      <c r="K941">
        <v>29755</v>
      </c>
      <c r="L941">
        <v>6866</v>
      </c>
      <c r="M941">
        <v>23847</v>
      </c>
      <c r="N941">
        <v>14</v>
      </c>
      <c r="O941" t="s">
        <v>61</v>
      </c>
      <c r="P941" t="s">
        <v>62</v>
      </c>
      <c r="Q941" s="1">
        <v>44962</v>
      </c>
      <c r="R941" s="1">
        <v>44927</v>
      </c>
      <c r="S941" t="s">
        <v>85</v>
      </c>
      <c r="T941" s="1">
        <v>44958</v>
      </c>
      <c r="U941">
        <v>2023</v>
      </c>
    </row>
    <row r="942" spans="1:21" x14ac:dyDescent="0.3">
      <c r="A942" t="s">
        <v>1052</v>
      </c>
      <c r="B942" t="s">
        <v>46</v>
      </c>
      <c r="C942" t="s">
        <v>47</v>
      </c>
      <c r="D942" t="s">
        <v>221</v>
      </c>
      <c r="E942" s="1">
        <v>45221</v>
      </c>
      <c r="F942" t="s">
        <v>49</v>
      </c>
      <c r="G942" t="s">
        <v>33</v>
      </c>
      <c r="H942">
        <v>9</v>
      </c>
      <c r="I942">
        <v>23858</v>
      </c>
      <c r="J942">
        <v>214722</v>
      </c>
      <c r="K942">
        <v>120526</v>
      </c>
      <c r="L942">
        <v>30489</v>
      </c>
      <c r="M942">
        <v>63707</v>
      </c>
      <c r="N942">
        <v>31</v>
      </c>
      <c r="O942" t="s">
        <v>50</v>
      </c>
      <c r="P942" t="s">
        <v>28</v>
      </c>
      <c r="Q942" s="1">
        <v>45221</v>
      </c>
      <c r="R942" s="1">
        <v>45200</v>
      </c>
      <c r="S942" t="s">
        <v>52</v>
      </c>
      <c r="T942" s="1">
        <v>45200</v>
      </c>
      <c r="U942">
        <v>2023</v>
      </c>
    </row>
    <row r="943" spans="1:21" x14ac:dyDescent="0.3">
      <c r="A943" t="s">
        <v>1053</v>
      </c>
      <c r="B943" t="s">
        <v>46</v>
      </c>
      <c r="C943" t="s">
        <v>47</v>
      </c>
      <c r="D943" t="s">
        <v>256</v>
      </c>
      <c r="E943" s="1">
        <v>45063</v>
      </c>
      <c r="F943" t="s">
        <v>25</v>
      </c>
      <c r="G943" t="s">
        <v>98</v>
      </c>
      <c r="H943">
        <v>10</v>
      </c>
      <c r="I943">
        <v>37763</v>
      </c>
      <c r="J943">
        <v>377630</v>
      </c>
      <c r="K943">
        <v>170963</v>
      </c>
      <c r="L943">
        <v>60635</v>
      </c>
      <c r="M943">
        <v>146032</v>
      </c>
      <c r="N943">
        <v>7</v>
      </c>
      <c r="O943" t="s">
        <v>42</v>
      </c>
      <c r="P943" t="s">
        <v>43</v>
      </c>
      <c r="Q943" s="1">
        <v>45060</v>
      </c>
      <c r="R943" s="1">
        <v>45017</v>
      </c>
      <c r="S943" t="s">
        <v>68</v>
      </c>
      <c r="T943" s="1">
        <v>45047</v>
      </c>
      <c r="U943">
        <v>2023</v>
      </c>
    </row>
    <row r="944" spans="1:21" x14ac:dyDescent="0.3">
      <c r="A944" t="s">
        <v>1054</v>
      </c>
      <c r="B944" t="s">
        <v>31</v>
      </c>
      <c r="C944" t="s">
        <v>23</v>
      </c>
      <c r="D944" t="s">
        <v>196</v>
      </c>
      <c r="E944" s="1">
        <v>44934</v>
      </c>
      <c r="F944" t="s">
        <v>49</v>
      </c>
      <c r="G944" t="s">
        <v>81</v>
      </c>
      <c r="H944">
        <v>3</v>
      </c>
      <c r="I944">
        <v>49207</v>
      </c>
      <c r="J944">
        <v>147621</v>
      </c>
      <c r="K944">
        <v>54854</v>
      </c>
      <c r="L944">
        <v>20598</v>
      </c>
      <c r="M944">
        <v>72169</v>
      </c>
      <c r="N944">
        <v>11</v>
      </c>
      <c r="O944" t="s">
        <v>34</v>
      </c>
      <c r="P944" t="s">
        <v>28</v>
      </c>
      <c r="Q944" s="1">
        <v>44934</v>
      </c>
      <c r="R944" s="1">
        <v>44927</v>
      </c>
      <c r="S944" t="s">
        <v>95</v>
      </c>
      <c r="T944" s="1">
        <v>44927</v>
      </c>
      <c r="U944">
        <v>2023</v>
      </c>
    </row>
    <row r="945" spans="1:21" x14ac:dyDescent="0.3">
      <c r="A945" t="s">
        <v>1055</v>
      </c>
      <c r="B945" t="s">
        <v>31</v>
      </c>
      <c r="C945" t="s">
        <v>23</v>
      </c>
      <c r="D945" t="s">
        <v>66</v>
      </c>
      <c r="E945" s="1">
        <v>44961</v>
      </c>
      <c r="F945" t="s">
        <v>57</v>
      </c>
      <c r="G945" t="s">
        <v>33</v>
      </c>
      <c r="H945">
        <v>4</v>
      </c>
      <c r="I945">
        <v>21967</v>
      </c>
      <c r="J945">
        <v>87868</v>
      </c>
      <c r="K945">
        <v>38316</v>
      </c>
      <c r="L945">
        <v>15752</v>
      </c>
      <c r="M945">
        <v>33800</v>
      </c>
      <c r="N945">
        <v>44</v>
      </c>
      <c r="O945" t="s">
        <v>61</v>
      </c>
      <c r="P945" t="s">
        <v>67</v>
      </c>
      <c r="Q945" s="1">
        <v>44955</v>
      </c>
      <c r="R945" s="1">
        <v>44927</v>
      </c>
      <c r="S945" t="s">
        <v>85</v>
      </c>
      <c r="T945" s="1">
        <v>44958</v>
      </c>
      <c r="U945">
        <v>2023</v>
      </c>
    </row>
    <row r="946" spans="1:21" x14ac:dyDescent="0.3">
      <c r="A946" t="s">
        <v>1056</v>
      </c>
      <c r="B946" t="s">
        <v>37</v>
      </c>
      <c r="C946" t="s">
        <v>38</v>
      </c>
      <c r="D946" t="s">
        <v>39</v>
      </c>
      <c r="E946" s="1">
        <v>45173</v>
      </c>
      <c r="F946" t="s">
        <v>40</v>
      </c>
      <c r="G946" t="s">
        <v>33</v>
      </c>
      <c r="H946">
        <v>8</v>
      </c>
      <c r="I946">
        <v>35429</v>
      </c>
      <c r="J946">
        <v>283432</v>
      </c>
      <c r="K946">
        <v>168358</v>
      </c>
      <c r="L946">
        <v>37806</v>
      </c>
      <c r="M946">
        <v>77268</v>
      </c>
      <c r="N946">
        <v>5</v>
      </c>
      <c r="O946" t="s">
        <v>42</v>
      </c>
      <c r="P946" t="s">
        <v>51</v>
      </c>
      <c r="Q946" s="1">
        <v>45172</v>
      </c>
      <c r="R946" s="1">
        <v>45108</v>
      </c>
      <c r="S946" t="s">
        <v>104</v>
      </c>
      <c r="T946" s="1">
        <v>45170</v>
      </c>
      <c r="U946">
        <v>2023</v>
      </c>
    </row>
    <row r="947" spans="1:21" x14ac:dyDescent="0.3">
      <c r="A947" t="s">
        <v>1057</v>
      </c>
      <c r="B947" t="s">
        <v>46</v>
      </c>
      <c r="C947" t="s">
        <v>47</v>
      </c>
      <c r="D947" t="s">
        <v>114</v>
      </c>
      <c r="E947" s="1">
        <v>45155</v>
      </c>
      <c r="F947" t="s">
        <v>25</v>
      </c>
      <c r="G947" t="s">
        <v>81</v>
      </c>
      <c r="H947">
        <v>5</v>
      </c>
      <c r="I947">
        <v>19182</v>
      </c>
      <c r="J947">
        <v>95910</v>
      </c>
      <c r="K947">
        <v>52903</v>
      </c>
      <c r="L947">
        <v>19153</v>
      </c>
      <c r="M947">
        <v>23854</v>
      </c>
      <c r="N947">
        <v>27</v>
      </c>
      <c r="O947" t="s">
        <v>42</v>
      </c>
      <c r="P947" t="s">
        <v>84</v>
      </c>
      <c r="Q947" s="1">
        <v>45151</v>
      </c>
      <c r="R947" s="1">
        <v>45108</v>
      </c>
      <c r="S947" t="s">
        <v>92</v>
      </c>
      <c r="T947" s="1">
        <v>45139</v>
      </c>
      <c r="U947">
        <v>2023</v>
      </c>
    </row>
    <row r="948" spans="1:21" x14ac:dyDescent="0.3">
      <c r="A948" t="s">
        <v>1058</v>
      </c>
      <c r="B948" t="s">
        <v>22</v>
      </c>
      <c r="C948" t="s">
        <v>23</v>
      </c>
      <c r="D948" t="s">
        <v>163</v>
      </c>
      <c r="E948" s="1">
        <v>45054</v>
      </c>
      <c r="F948" t="s">
        <v>49</v>
      </c>
      <c r="G948" t="s">
        <v>98</v>
      </c>
      <c r="H948">
        <v>5</v>
      </c>
      <c r="I948">
        <v>56990</v>
      </c>
      <c r="J948">
        <v>284950</v>
      </c>
      <c r="K948">
        <v>154622</v>
      </c>
      <c r="L948">
        <v>42282</v>
      </c>
      <c r="M948">
        <v>88046</v>
      </c>
      <c r="N948">
        <v>42</v>
      </c>
      <c r="O948" t="s">
        <v>42</v>
      </c>
      <c r="P948" t="s">
        <v>51</v>
      </c>
      <c r="Q948" s="1">
        <v>45053</v>
      </c>
      <c r="R948" s="1">
        <v>45017</v>
      </c>
      <c r="S948" t="s">
        <v>68</v>
      </c>
      <c r="T948" s="1">
        <v>45047</v>
      </c>
      <c r="U948">
        <v>2023</v>
      </c>
    </row>
    <row r="949" spans="1:21" x14ac:dyDescent="0.3">
      <c r="A949" t="s">
        <v>1059</v>
      </c>
      <c r="B949" t="s">
        <v>31</v>
      </c>
      <c r="C949" t="s">
        <v>23</v>
      </c>
      <c r="D949" t="s">
        <v>108</v>
      </c>
      <c r="E949" s="1">
        <v>45106</v>
      </c>
      <c r="F949" t="s">
        <v>57</v>
      </c>
      <c r="G949" t="s">
        <v>41</v>
      </c>
      <c r="H949">
        <v>7</v>
      </c>
      <c r="I949">
        <v>2931</v>
      </c>
      <c r="J949">
        <v>20517</v>
      </c>
      <c r="K949">
        <v>6292</v>
      </c>
      <c r="L949">
        <v>3224</v>
      </c>
      <c r="M949">
        <v>11001</v>
      </c>
      <c r="N949">
        <v>16</v>
      </c>
      <c r="O949" t="s">
        <v>27</v>
      </c>
      <c r="P949" t="s">
        <v>84</v>
      </c>
      <c r="Q949" s="1">
        <v>45102</v>
      </c>
      <c r="R949" s="1">
        <v>45017</v>
      </c>
      <c r="S949" t="s">
        <v>35</v>
      </c>
      <c r="T949" s="1">
        <v>45078</v>
      </c>
      <c r="U949">
        <v>2023</v>
      </c>
    </row>
    <row r="950" spans="1:21" x14ac:dyDescent="0.3">
      <c r="A950" t="s">
        <v>1060</v>
      </c>
      <c r="B950" t="s">
        <v>37</v>
      </c>
      <c r="C950" t="s">
        <v>38</v>
      </c>
      <c r="D950" t="s">
        <v>133</v>
      </c>
      <c r="E950" s="1">
        <v>45229</v>
      </c>
      <c r="F950" t="s">
        <v>57</v>
      </c>
      <c r="G950" t="s">
        <v>58</v>
      </c>
      <c r="H950">
        <v>8</v>
      </c>
      <c r="I950">
        <v>13413</v>
      </c>
      <c r="J950">
        <v>107304</v>
      </c>
      <c r="K950">
        <v>37637</v>
      </c>
      <c r="L950">
        <v>20687</v>
      </c>
      <c r="M950">
        <v>48980</v>
      </c>
      <c r="N950">
        <v>43</v>
      </c>
      <c r="O950" t="s">
        <v>42</v>
      </c>
      <c r="P950" t="s">
        <v>51</v>
      </c>
      <c r="Q950" s="1">
        <v>45228</v>
      </c>
      <c r="R950" s="1">
        <v>45200</v>
      </c>
      <c r="S950" t="s">
        <v>52</v>
      </c>
      <c r="T950" s="1">
        <v>45200</v>
      </c>
      <c r="U950">
        <v>2023</v>
      </c>
    </row>
    <row r="951" spans="1:21" x14ac:dyDescent="0.3">
      <c r="A951" t="s">
        <v>1061</v>
      </c>
      <c r="B951" t="s">
        <v>37</v>
      </c>
      <c r="C951" t="s">
        <v>38</v>
      </c>
      <c r="D951" t="s">
        <v>111</v>
      </c>
      <c r="E951" s="1">
        <v>45031</v>
      </c>
      <c r="F951" t="s">
        <v>25</v>
      </c>
      <c r="G951" t="s">
        <v>98</v>
      </c>
      <c r="H951">
        <v>2</v>
      </c>
      <c r="I951">
        <v>65086</v>
      </c>
      <c r="J951">
        <v>130172</v>
      </c>
      <c r="K951">
        <v>75832</v>
      </c>
      <c r="L951">
        <v>17066</v>
      </c>
      <c r="M951">
        <v>37274</v>
      </c>
      <c r="N951">
        <v>13</v>
      </c>
      <c r="O951" t="s">
        <v>61</v>
      </c>
      <c r="P951" t="s">
        <v>67</v>
      </c>
      <c r="Q951" s="1">
        <v>45025</v>
      </c>
      <c r="R951" s="1">
        <v>45017</v>
      </c>
      <c r="S951" t="s">
        <v>74</v>
      </c>
      <c r="T951" s="1">
        <v>45017</v>
      </c>
      <c r="U951">
        <v>2023</v>
      </c>
    </row>
    <row r="952" spans="1:21" x14ac:dyDescent="0.3">
      <c r="A952" t="s">
        <v>1062</v>
      </c>
      <c r="B952" t="s">
        <v>22</v>
      </c>
      <c r="C952" t="s">
        <v>23</v>
      </c>
      <c r="D952" t="s">
        <v>83</v>
      </c>
      <c r="E952" s="1">
        <v>44930</v>
      </c>
      <c r="F952" t="s">
        <v>57</v>
      </c>
      <c r="G952" t="s">
        <v>41</v>
      </c>
      <c r="H952">
        <v>1</v>
      </c>
      <c r="I952">
        <v>57227</v>
      </c>
      <c r="J952">
        <v>57227</v>
      </c>
      <c r="K952">
        <v>21037</v>
      </c>
      <c r="L952">
        <v>5750</v>
      </c>
      <c r="M952">
        <v>30440</v>
      </c>
      <c r="N952">
        <v>13</v>
      </c>
      <c r="O952" t="s">
        <v>50</v>
      </c>
      <c r="P952" t="s">
        <v>43</v>
      </c>
      <c r="Q952" s="1">
        <v>44927</v>
      </c>
      <c r="R952" s="1">
        <v>44927</v>
      </c>
      <c r="S952" t="s">
        <v>95</v>
      </c>
      <c r="T952" s="1">
        <v>44927</v>
      </c>
      <c r="U952">
        <v>2023</v>
      </c>
    </row>
    <row r="953" spans="1:21" x14ac:dyDescent="0.3">
      <c r="A953" t="s">
        <v>1063</v>
      </c>
      <c r="B953" t="s">
        <v>37</v>
      </c>
      <c r="C953" t="s">
        <v>38</v>
      </c>
      <c r="D953" t="s">
        <v>32</v>
      </c>
      <c r="E953" s="1">
        <v>45243</v>
      </c>
      <c r="F953" t="s">
        <v>49</v>
      </c>
      <c r="G953" t="s">
        <v>26</v>
      </c>
      <c r="H953">
        <v>10</v>
      </c>
      <c r="I953">
        <v>26866</v>
      </c>
      <c r="J953">
        <v>268660</v>
      </c>
      <c r="K953">
        <v>130926</v>
      </c>
      <c r="L953">
        <v>27887</v>
      </c>
      <c r="M953">
        <v>109847</v>
      </c>
      <c r="N953">
        <v>5</v>
      </c>
      <c r="O953" t="s">
        <v>34</v>
      </c>
      <c r="P953" t="s">
        <v>51</v>
      </c>
      <c r="Q953" s="1">
        <v>45242</v>
      </c>
      <c r="R953" s="1">
        <v>45200</v>
      </c>
      <c r="S953" t="s">
        <v>138</v>
      </c>
      <c r="T953" s="1">
        <v>45231</v>
      </c>
      <c r="U953">
        <v>2023</v>
      </c>
    </row>
    <row r="954" spans="1:21" x14ac:dyDescent="0.3">
      <c r="A954" t="s">
        <v>1064</v>
      </c>
      <c r="B954" t="s">
        <v>72</v>
      </c>
      <c r="C954" t="s">
        <v>47</v>
      </c>
      <c r="D954" t="s">
        <v>221</v>
      </c>
      <c r="E954" s="1">
        <v>45013</v>
      </c>
      <c r="F954" t="s">
        <v>40</v>
      </c>
      <c r="G954" t="s">
        <v>41</v>
      </c>
      <c r="H954">
        <v>9</v>
      </c>
      <c r="I954">
        <v>24995</v>
      </c>
      <c r="J954">
        <v>224955</v>
      </c>
      <c r="K954">
        <v>88859</v>
      </c>
      <c r="L954">
        <v>31518</v>
      </c>
      <c r="M954">
        <v>104578</v>
      </c>
      <c r="N954">
        <v>19</v>
      </c>
      <c r="O954" t="s">
        <v>27</v>
      </c>
      <c r="P954" t="s">
        <v>62</v>
      </c>
      <c r="Q954" s="1">
        <v>45011</v>
      </c>
      <c r="R954" s="1">
        <v>44927</v>
      </c>
      <c r="S954" t="s">
        <v>44</v>
      </c>
      <c r="T954" s="1">
        <v>44986</v>
      </c>
      <c r="U954">
        <v>2023</v>
      </c>
    </row>
    <row r="955" spans="1:21" x14ac:dyDescent="0.3">
      <c r="A955" t="s">
        <v>1065</v>
      </c>
      <c r="B955" t="s">
        <v>72</v>
      </c>
      <c r="C955" t="s">
        <v>47</v>
      </c>
      <c r="D955" t="s">
        <v>125</v>
      </c>
      <c r="E955" s="1">
        <v>45236</v>
      </c>
      <c r="F955" t="s">
        <v>57</v>
      </c>
      <c r="G955" t="s">
        <v>41</v>
      </c>
      <c r="H955">
        <v>9</v>
      </c>
      <c r="I955">
        <v>63240</v>
      </c>
      <c r="J955">
        <v>569160</v>
      </c>
      <c r="K955">
        <v>328723</v>
      </c>
      <c r="L955">
        <v>92591</v>
      </c>
      <c r="M955">
        <v>147846</v>
      </c>
      <c r="N955">
        <v>40</v>
      </c>
      <c r="O955" t="s">
        <v>27</v>
      </c>
      <c r="P955" t="s">
        <v>51</v>
      </c>
      <c r="Q955" s="1">
        <v>45235</v>
      </c>
      <c r="R955" s="1">
        <v>45200</v>
      </c>
      <c r="S955" t="s">
        <v>138</v>
      </c>
      <c r="T955" s="1">
        <v>45231</v>
      </c>
      <c r="U955">
        <v>2023</v>
      </c>
    </row>
    <row r="956" spans="1:21" x14ac:dyDescent="0.3">
      <c r="A956" t="s">
        <v>1066</v>
      </c>
      <c r="B956" t="s">
        <v>37</v>
      </c>
      <c r="C956" t="s">
        <v>38</v>
      </c>
      <c r="D956" t="s">
        <v>137</v>
      </c>
      <c r="E956" s="1">
        <v>45005</v>
      </c>
      <c r="F956" t="s">
        <v>57</v>
      </c>
      <c r="G956" t="s">
        <v>41</v>
      </c>
      <c r="H956">
        <v>8</v>
      </c>
      <c r="I956">
        <v>45179</v>
      </c>
      <c r="J956">
        <v>361432</v>
      </c>
      <c r="K956">
        <v>147860</v>
      </c>
      <c r="L956">
        <v>38566</v>
      </c>
      <c r="M956">
        <v>175006</v>
      </c>
      <c r="N956">
        <v>5</v>
      </c>
      <c r="O956" t="s">
        <v>42</v>
      </c>
      <c r="P956" t="s">
        <v>51</v>
      </c>
      <c r="Q956" s="1">
        <v>45004</v>
      </c>
      <c r="R956" s="1">
        <v>44927</v>
      </c>
      <c r="S956" t="s">
        <v>44</v>
      </c>
      <c r="T956" s="1">
        <v>44986</v>
      </c>
      <c r="U956">
        <v>2023</v>
      </c>
    </row>
    <row r="957" spans="1:21" x14ac:dyDescent="0.3">
      <c r="A957" t="s">
        <v>1067</v>
      </c>
      <c r="B957" t="s">
        <v>31</v>
      </c>
      <c r="C957" t="s">
        <v>23</v>
      </c>
      <c r="D957" t="s">
        <v>111</v>
      </c>
      <c r="E957" s="1">
        <v>45194</v>
      </c>
      <c r="F957" t="s">
        <v>40</v>
      </c>
      <c r="G957" t="s">
        <v>64</v>
      </c>
      <c r="H957">
        <v>1</v>
      </c>
      <c r="I957">
        <v>52154</v>
      </c>
      <c r="J957">
        <v>52154</v>
      </c>
      <c r="K957">
        <v>29742</v>
      </c>
      <c r="L957">
        <v>9634</v>
      </c>
      <c r="M957">
        <v>12778</v>
      </c>
      <c r="N957">
        <v>9</v>
      </c>
      <c r="O957" t="s">
        <v>27</v>
      </c>
      <c r="P957" t="s">
        <v>51</v>
      </c>
      <c r="Q957" s="1">
        <v>45193</v>
      </c>
      <c r="R957" s="1">
        <v>45108</v>
      </c>
      <c r="S957" t="s">
        <v>104</v>
      </c>
      <c r="T957" s="1">
        <v>45170</v>
      </c>
      <c r="U957">
        <v>2023</v>
      </c>
    </row>
    <row r="958" spans="1:21" x14ac:dyDescent="0.3">
      <c r="A958" t="s">
        <v>1068</v>
      </c>
      <c r="B958" t="s">
        <v>46</v>
      </c>
      <c r="C958" t="s">
        <v>47</v>
      </c>
      <c r="D958" t="s">
        <v>101</v>
      </c>
      <c r="E958" s="1">
        <v>45070</v>
      </c>
      <c r="F958" t="s">
        <v>25</v>
      </c>
      <c r="G958" t="s">
        <v>33</v>
      </c>
      <c r="H958">
        <v>6</v>
      </c>
      <c r="I958">
        <v>22770</v>
      </c>
      <c r="J958">
        <v>136620</v>
      </c>
      <c r="K958">
        <v>47904</v>
      </c>
      <c r="L958">
        <v>24471</v>
      </c>
      <c r="M958">
        <v>64245</v>
      </c>
      <c r="N958">
        <v>26</v>
      </c>
      <c r="O958" t="s">
        <v>34</v>
      </c>
      <c r="P958" t="s">
        <v>43</v>
      </c>
      <c r="Q958" s="1">
        <v>45067</v>
      </c>
      <c r="R958" s="1">
        <v>45017</v>
      </c>
      <c r="S958" t="s">
        <v>68</v>
      </c>
      <c r="T958" s="1">
        <v>45047</v>
      </c>
      <c r="U958">
        <v>2023</v>
      </c>
    </row>
    <row r="959" spans="1:21" x14ac:dyDescent="0.3">
      <c r="A959" t="s">
        <v>1069</v>
      </c>
      <c r="B959" t="s">
        <v>31</v>
      </c>
      <c r="C959" t="s">
        <v>23</v>
      </c>
      <c r="D959" t="s">
        <v>106</v>
      </c>
      <c r="E959" s="1">
        <v>45151</v>
      </c>
      <c r="F959" t="s">
        <v>57</v>
      </c>
      <c r="G959" t="s">
        <v>33</v>
      </c>
      <c r="H959">
        <v>4</v>
      </c>
      <c r="I959">
        <v>16129</v>
      </c>
      <c r="J959">
        <v>64516</v>
      </c>
      <c r="K959">
        <v>37667</v>
      </c>
      <c r="L959">
        <v>11844</v>
      </c>
      <c r="M959">
        <v>15005</v>
      </c>
      <c r="N959">
        <v>22</v>
      </c>
      <c r="O959" t="s">
        <v>50</v>
      </c>
      <c r="P959" t="s">
        <v>28</v>
      </c>
      <c r="Q959" s="1">
        <v>45151</v>
      </c>
      <c r="R959" s="1">
        <v>45108</v>
      </c>
      <c r="S959" t="s">
        <v>92</v>
      </c>
      <c r="T959" s="1">
        <v>45139</v>
      </c>
      <c r="U959">
        <v>2023</v>
      </c>
    </row>
    <row r="960" spans="1:21" x14ac:dyDescent="0.3">
      <c r="A960" t="s">
        <v>1070</v>
      </c>
      <c r="B960" t="s">
        <v>37</v>
      </c>
      <c r="C960" t="s">
        <v>38</v>
      </c>
      <c r="D960" t="s">
        <v>108</v>
      </c>
      <c r="E960" s="1">
        <v>44985</v>
      </c>
      <c r="F960" t="s">
        <v>49</v>
      </c>
      <c r="G960" t="s">
        <v>98</v>
      </c>
      <c r="H960">
        <v>4</v>
      </c>
      <c r="I960">
        <v>31362</v>
      </c>
      <c r="J960">
        <v>125448</v>
      </c>
      <c r="K960">
        <v>66724</v>
      </c>
      <c r="L960">
        <v>20737</v>
      </c>
      <c r="M960">
        <v>37987</v>
      </c>
      <c r="N960">
        <v>13</v>
      </c>
      <c r="O960" t="s">
        <v>42</v>
      </c>
      <c r="P960" t="s">
        <v>62</v>
      </c>
      <c r="Q960" s="1">
        <v>44983</v>
      </c>
      <c r="R960" s="1">
        <v>44927</v>
      </c>
      <c r="S960" t="s">
        <v>85</v>
      </c>
      <c r="T960" s="1">
        <v>44958</v>
      </c>
      <c r="U960">
        <v>2023</v>
      </c>
    </row>
    <row r="961" spans="1:21" x14ac:dyDescent="0.3">
      <c r="A961" t="s">
        <v>1071</v>
      </c>
      <c r="B961" t="s">
        <v>37</v>
      </c>
      <c r="C961" t="s">
        <v>38</v>
      </c>
      <c r="D961" t="s">
        <v>83</v>
      </c>
      <c r="E961" s="1">
        <v>45097</v>
      </c>
      <c r="F961" t="s">
        <v>57</v>
      </c>
      <c r="G961" t="s">
        <v>81</v>
      </c>
      <c r="H961">
        <v>3</v>
      </c>
      <c r="I961">
        <v>5279</v>
      </c>
      <c r="J961">
        <v>15837</v>
      </c>
      <c r="K961">
        <v>5760</v>
      </c>
      <c r="L961">
        <v>1944</v>
      </c>
      <c r="M961">
        <v>8133</v>
      </c>
      <c r="N961">
        <v>14</v>
      </c>
      <c r="O961" t="s">
        <v>27</v>
      </c>
      <c r="P961" t="s">
        <v>62</v>
      </c>
      <c r="Q961" s="1">
        <v>45095</v>
      </c>
      <c r="R961" s="1">
        <v>45017</v>
      </c>
      <c r="S961" t="s">
        <v>35</v>
      </c>
      <c r="T961" s="1">
        <v>45078</v>
      </c>
      <c r="U961">
        <v>2023</v>
      </c>
    </row>
    <row r="962" spans="1:21" x14ac:dyDescent="0.3">
      <c r="A962" t="s">
        <v>1072</v>
      </c>
      <c r="B962" t="s">
        <v>37</v>
      </c>
      <c r="C962" t="s">
        <v>38</v>
      </c>
      <c r="D962" t="s">
        <v>176</v>
      </c>
      <c r="E962" s="1">
        <v>45197</v>
      </c>
      <c r="F962" t="s">
        <v>40</v>
      </c>
      <c r="G962" t="s">
        <v>81</v>
      </c>
      <c r="H962">
        <v>10</v>
      </c>
      <c r="I962">
        <v>59566</v>
      </c>
      <c r="J962">
        <v>595660</v>
      </c>
      <c r="K962">
        <v>210688</v>
      </c>
      <c r="L962">
        <v>106503</v>
      </c>
      <c r="M962">
        <v>278469</v>
      </c>
      <c r="N962">
        <v>16</v>
      </c>
      <c r="O962" t="s">
        <v>50</v>
      </c>
      <c r="P962" t="s">
        <v>84</v>
      </c>
      <c r="Q962" s="1">
        <v>45193</v>
      </c>
      <c r="R962" s="1">
        <v>45108</v>
      </c>
      <c r="S962" t="s">
        <v>104</v>
      </c>
      <c r="T962" s="1">
        <v>45170</v>
      </c>
      <c r="U962">
        <v>2023</v>
      </c>
    </row>
    <row r="963" spans="1:21" x14ac:dyDescent="0.3">
      <c r="A963" t="s">
        <v>1073</v>
      </c>
      <c r="B963" t="s">
        <v>22</v>
      </c>
      <c r="C963" t="s">
        <v>23</v>
      </c>
      <c r="D963" t="s">
        <v>188</v>
      </c>
      <c r="E963" s="1">
        <v>45239</v>
      </c>
      <c r="F963" t="s">
        <v>40</v>
      </c>
      <c r="G963" t="s">
        <v>81</v>
      </c>
      <c r="H963">
        <v>10</v>
      </c>
      <c r="I963">
        <v>6183</v>
      </c>
      <c r="J963">
        <v>61830</v>
      </c>
      <c r="K963">
        <v>23117</v>
      </c>
      <c r="L963">
        <v>10947</v>
      </c>
      <c r="M963">
        <v>27766</v>
      </c>
      <c r="N963">
        <v>12</v>
      </c>
      <c r="O963" t="s">
        <v>61</v>
      </c>
      <c r="P963" t="s">
        <v>84</v>
      </c>
      <c r="Q963" s="1">
        <v>45235</v>
      </c>
      <c r="R963" s="1">
        <v>45200</v>
      </c>
      <c r="S963" t="s">
        <v>138</v>
      </c>
      <c r="T963" s="1">
        <v>45231</v>
      </c>
      <c r="U963">
        <v>2023</v>
      </c>
    </row>
    <row r="964" spans="1:21" x14ac:dyDescent="0.3">
      <c r="A964" t="s">
        <v>1074</v>
      </c>
      <c r="B964" t="s">
        <v>72</v>
      </c>
      <c r="C964" t="s">
        <v>47</v>
      </c>
      <c r="D964" t="s">
        <v>125</v>
      </c>
      <c r="E964" s="1">
        <v>44961</v>
      </c>
      <c r="F964" t="s">
        <v>49</v>
      </c>
      <c r="G964" t="s">
        <v>81</v>
      </c>
      <c r="H964">
        <v>5</v>
      </c>
      <c r="I964">
        <v>41742</v>
      </c>
      <c r="J964">
        <v>208710</v>
      </c>
      <c r="K964">
        <v>65719</v>
      </c>
      <c r="L964">
        <v>27640</v>
      </c>
      <c r="M964">
        <v>115351</v>
      </c>
      <c r="N964">
        <v>24</v>
      </c>
      <c r="O964" t="s">
        <v>61</v>
      </c>
      <c r="P964" t="s">
        <v>67</v>
      </c>
      <c r="Q964" s="1">
        <v>44955</v>
      </c>
      <c r="R964" s="1">
        <v>44927</v>
      </c>
      <c r="S964" t="s">
        <v>85</v>
      </c>
      <c r="T964" s="1">
        <v>44958</v>
      </c>
      <c r="U964">
        <v>2023</v>
      </c>
    </row>
    <row r="965" spans="1:21" x14ac:dyDescent="0.3">
      <c r="A965" t="s">
        <v>1075</v>
      </c>
      <c r="B965" t="s">
        <v>22</v>
      </c>
      <c r="C965" t="s">
        <v>23</v>
      </c>
      <c r="D965" t="s">
        <v>48</v>
      </c>
      <c r="E965" s="1">
        <v>45195</v>
      </c>
      <c r="F965" t="s">
        <v>25</v>
      </c>
      <c r="G965" t="s">
        <v>26</v>
      </c>
      <c r="H965">
        <v>10</v>
      </c>
      <c r="I965">
        <v>32578</v>
      </c>
      <c r="J965">
        <v>325780</v>
      </c>
      <c r="K965">
        <v>112685</v>
      </c>
      <c r="L965">
        <v>51953</v>
      </c>
      <c r="M965">
        <v>161142</v>
      </c>
      <c r="N965">
        <v>34</v>
      </c>
      <c r="O965" t="s">
        <v>34</v>
      </c>
      <c r="P965" t="s">
        <v>62</v>
      </c>
      <c r="Q965" s="1">
        <v>45193</v>
      </c>
      <c r="R965" s="1">
        <v>45108</v>
      </c>
      <c r="S965" t="s">
        <v>104</v>
      </c>
      <c r="T965" s="1">
        <v>45170</v>
      </c>
      <c r="U965">
        <v>2023</v>
      </c>
    </row>
    <row r="966" spans="1:21" x14ac:dyDescent="0.3">
      <c r="A966" t="s">
        <v>1076</v>
      </c>
      <c r="B966" t="s">
        <v>31</v>
      </c>
      <c r="C966" t="s">
        <v>23</v>
      </c>
      <c r="D966" t="s">
        <v>119</v>
      </c>
      <c r="E966" s="1">
        <v>45048</v>
      </c>
      <c r="F966" t="s">
        <v>49</v>
      </c>
      <c r="G966" t="s">
        <v>64</v>
      </c>
      <c r="H966">
        <v>5</v>
      </c>
      <c r="I966">
        <v>66936</v>
      </c>
      <c r="J966">
        <v>334680</v>
      </c>
      <c r="K966">
        <v>145968</v>
      </c>
      <c r="L966">
        <v>50638</v>
      </c>
      <c r="M966">
        <v>138074</v>
      </c>
      <c r="N966">
        <v>42</v>
      </c>
      <c r="O966" t="s">
        <v>34</v>
      </c>
      <c r="P966" t="s">
        <v>62</v>
      </c>
      <c r="Q966" s="1">
        <v>45046</v>
      </c>
      <c r="R966" s="1">
        <v>45017</v>
      </c>
      <c r="S966" t="s">
        <v>68</v>
      </c>
      <c r="T966" s="1">
        <v>45047</v>
      </c>
      <c r="U966">
        <v>2023</v>
      </c>
    </row>
    <row r="967" spans="1:21" x14ac:dyDescent="0.3">
      <c r="A967" t="s">
        <v>1077</v>
      </c>
      <c r="B967" t="s">
        <v>46</v>
      </c>
      <c r="C967" t="s">
        <v>47</v>
      </c>
      <c r="D967" t="s">
        <v>24</v>
      </c>
      <c r="E967" s="1">
        <v>45110</v>
      </c>
      <c r="F967" t="s">
        <v>25</v>
      </c>
      <c r="G967" t="s">
        <v>64</v>
      </c>
      <c r="H967">
        <v>3</v>
      </c>
      <c r="I967">
        <v>32380</v>
      </c>
      <c r="J967">
        <v>97140</v>
      </c>
      <c r="K967">
        <v>56233</v>
      </c>
      <c r="L967">
        <v>12978</v>
      </c>
      <c r="M967">
        <v>27929</v>
      </c>
      <c r="N967">
        <v>2</v>
      </c>
      <c r="O967" t="s">
        <v>50</v>
      </c>
      <c r="P967" t="s">
        <v>51</v>
      </c>
      <c r="Q967" s="1">
        <v>45109</v>
      </c>
      <c r="R967" s="1">
        <v>45108</v>
      </c>
      <c r="S967" t="s">
        <v>29</v>
      </c>
      <c r="T967" s="1">
        <v>45108</v>
      </c>
      <c r="U967">
        <v>2023</v>
      </c>
    </row>
    <row r="968" spans="1:21" x14ac:dyDescent="0.3">
      <c r="A968" t="s">
        <v>1078</v>
      </c>
      <c r="B968" t="s">
        <v>37</v>
      </c>
      <c r="C968" t="s">
        <v>38</v>
      </c>
      <c r="D968" t="s">
        <v>76</v>
      </c>
      <c r="E968" s="1">
        <v>45153</v>
      </c>
      <c r="F968" t="s">
        <v>49</v>
      </c>
      <c r="G968" t="s">
        <v>81</v>
      </c>
      <c r="H968">
        <v>3</v>
      </c>
      <c r="I968">
        <v>52556</v>
      </c>
      <c r="J968">
        <v>157668</v>
      </c>
      <c r="K968">
        <v>75087</v>
      </c>
      <c r="L968">
        <v>22216</v>
      </c>
      <c r="M968">
        <v>60365</v>
      </c>
      <c r="N968">
        <v>20</v>
      </c>
      <c r="O968" t="s">
        <v>50</v>
      </c>
      <c r="P968" t="s">
        <v>62</v>
      </c>
      <c r="Q968" s="1">
        <v>45151</v>
      </c>
      <c r="R968" s="1">
        <v>45108</v>
      </c>
      <c r="S968" t="s">
        <v>92</v>
      </c>
      <c r="T968" s="1">
        <v>45139</v>
      </c>
      <c r="U968">
        <v>2023</v>
      </c>
    </row>
    <row r="969" spans="1:21" x14ac:dyDescent="0.3">
      <c r="A969" t="s">
        <v>1079</v>
      </c>
      <c r="B969" t="s">
        <v>72</v>
      </c>
      <c r="C969" t="s">
        <v>47</v>
      </c>
      <c r="D969" t="s">
        <v>101</v>
      </c>
      <c r="E969" s="1">
        <v>45086</v>
      </c>
      <c r="F969" t="s">
        <v>40</v>
      </c>
      <c r="G969" t="s">
        <v>33</v>
      </c>
      <c r="H969">
        <v>5</v>
      </c>
      <c r="I969">
        <v>24952</v>
      </c>
      <c r="J969">
        <v>124760</v>
      </c>
      <c r="K969">
        <v>40711</v>
      </c>
      <c r="L969">
        <v>17618</v>
      </c>
      <c r="M969">
        <v>66431</v>
      </c>
      <c r="N969">
        <v>48</v>
      </c>
      <c r="O969" t="s">
        <v>27</v>
      </c>
      <c r="P969" t="s">
        <v>99</v>
      </c>
      <c r="Q969" s="1">
        <v>45081</v>
      </c>
      <c r="R969" s="1">
        <v>45017</v>
      </c>
      <c r="S969" t="s">
        <v>35</v>
      </c>
      <c r="T969" s="1">
        <v>45078</v>
      </c>
      <c r="U969">
        <v>2023</v>
      </c>
    </row>
    <row r="970" spans="1:21" x14ac:dyDescent="0.3">
      <c r="A970" t="s">
        <v>1080</v>
      </c>
      <c r="B970" t="s">
        <v>46</v>
      </c>
      <c r="C970" t="s">
        <v>47</v>
      </c>
      <c r="D970" t="s">
        <v>168</v>
      </c>
      <c r="E970" s="1">
        <v>45011</v>
      </c>
      <c r="F970" t="s">
        <v>25</v>
      </c>
      <c r="G970" t="s">
        <v>81</v>
      </c>
      <c r="H970">
        <v>7</v>
      </c>
      <c r="I970">
        <v>48580</v>
      </c>
      <c r="J970">
        <v>340060</v>
      </c>
      <c r="K970">
        <v>175876</v>
      </c>
      <c r="L970">
        <v>51324</v>
      </c>
      <c r="M970">
        <v>112860</v>
      </c>
      <c r="N970">
        <v>0</v>
      </c>
      <c r="O970" t="s">
        <v>61</v>
      </c>
      <c r="P970" t="s">
        <v>28</v>
      </c>
      <c r="Q970" s="1">
        <v>45011</v>
      </c>
      <c r="R970" s="1">
        <v>44927</v>
      </c>
      <c r="S970" t="s">
        <v>44</v>
      </c>
      <c r="T970" s="1">
        <v>44986</v>
      </c>
      <c r="U970">
        <v>2023</v>
      </c>
    </row>
    <row r="971" spans="1:21" x14ac:dyDescent="0.3">
      <c r="A971" t="s">
        <v>1081</v>
      </c>
      <c r="B971" t="s">
        <v>31</v>
      </c>
      <c r="C971" t="s">
        <v>23</v>
      </c>
      <c r="D971" t="s">
        <v>111</v>
      </c>
      <c r="E971" s="1">
        <v>44939</v>
      </c>
      <c r="F971" t="s">
        <v>40</v>
      </c>
      <c r="G971" t="s">
        <v>26</v>
      </c>
      <c r="H971">
        <v>7</v>
      </c>
      <c r="I971">
        <v>53355</v>
      </c>
      <c r="J971">
        <v>373485</v>
      </c>
      <c r="K971">
        <v>222324</v>
      </c>
      <c r="L971">
        <v>38618</v>
      </c>
      <c r="M971">
        <v>112543</v>
      </c>
      <c r="N971">
        <v>18</v>
      </c>
      <c r="O971" t="s">
        <v>50</v>
      </c>
      <c r="P971" t="s">
        <v>99</v>
      </c>
      <c r="Q971" s="1">
        <v>44934</v>
      </c>
      <c r="R971" s="1">
        <v>44927</v>
      </c>
      <c r="S971" t="s">
        <v>95</v>
      </c>
      <c r="T971" s="1">
        <v>44927</v>
      </c>
      <c r="U971">
        <v>2023</v>
      </c>
    </row>
    <row r="972" spans="1:21" x14ac:dyDescent="0.3">
      <c r="A972" t="s">
        <v>1082</v>
      </c>
      <c r="B972" t="s">
        <v>22</v>
      </c>
      <c r="C972" t="s">
        <v>23</v>
      </c>
      <c r="D972" t="s">
        <v>256</v>
      </c>
      <c r="E972" s="1">
        <v>45057</v>
      </c>
      <c r="F972" t="s">
        <v>25</v>
      </c>
      <c r="G972" t="s">
        <v>58</v>
      </c>
      <c r="H972">
        <v>3</v>
      </c>
      <c r="I972">
        <v>40207</v>
      </c>
      <c r="J972">
        <v>120621</v>
      </c>
      <c r="K972">
        <v>41124</v>
      </c>
      <c r="L972">
        <v>12077</v>
      </c>
      <c r="M972">
        <v>67420</v>
      </c>
      <c r="N972">
        <v>39</v>
      </c>
      <c r="O972" t="s">
        <v>61</v>
      </c>
      <c r="P972" t="s">
        <v>84</v>
      </c>
      <c r="Q972" s="1">
        <v>45053</v>
      </c>
      <c r="R972" s="1">
        <v>45017</v>
      </c>
      <c r="S972" t="s">
        <v>68</v>
      </c>
      <c r="T972" s="1">
        <v>45047</v>
      </c>
      <c r="U972">
        <v>2023</v>
      </c>
    </row>
    <row r="973" spans="1:21" x14ac:dyDescent="0.3">
      <c r="A973" t="s">
        <v>1083</v>
      </c>
      <c r="B973" t="s">
        <v>46</v>
      </c>
      <c r="C973" t="s">
        <v>47</v>
      </c>
      <c r="D973" t="s">
        <v>48</v>
      </c>
      <c r="E973" s="1">
        <v>44989</v>
      </c>
      <c r="F973" t="s">
        <v>40</v>
      </c>
      <c r="G973" t="s">
        <v>98</v>
      </c>
      <c r="H973">
        <v>4</v>
      </c>
      <c r="I973">
        <v>16312</v>
      </c>
      <c r="J973">
        <v>65248</v>
      </c>
      <c r="K973">
        <v>25435</v>
      </c>
      <c r="L973">
        <v>9830</v>
      </c>
      <c r="M973">
        <v>29983</v>
      </c>
      <c r="N973">
        <v>36</v>
      </c>
      <c r="O973" t="s">
        <v>27</v>
      </c>
      <c r="P973" t="s">
        <v>67</v>
      </c>
      <c r="Q973" s="1">
        <v>44983</v>
      </c>
      <c r="R973" s="1">
        <v>44927</v>
      </c>
      <c r="S973" t="s">
        <v>44</v>
      </c>
      <c r="T973" s="1">
        <v>44986</v>
      </c>
      <c r="U973">
        <v>2023</v>
      </c>
    </row>
    <row r="974" spans="1:21" x14ac:dyDescent="0.3">
      <c r="A974" t="s">
        <v>1084</v>
      </c>
      <c r="B974" t="s">
        <v>37</v>
      </c>
      <c r="C974" t="s">
        <v>38</v>
      </c>
      <c r="D974" t="s">
        <v>70</v>
      </c>
      <c r="E974" s="1">
        <v>45249</v>
      </c>
      <c r="F974" t="s">
        <v>40</v>
      </c>
      <c r="G974" t="s">
        <v>58</v>
      </c>
      <c r="H974">
        <v>4</v>
      </c>
      <c r="I974">
        <v>44763</v>
      </c>
      <c r="J974">
        <v>179052</v>
      </c>
      <c r="K974">
        <v>84130</v>
      </c>
      <c r="L974">
        <v>33942</v>
      </c>
      <c r="M974">
        <v>60980</v>
      </c>
      <c r="N974">
        <v>10</v>
      </c>
      <c r="O974" t="s">
        <v>27</v>
      </c>
      <c r="P974" t="s">
        <v>28</v>
      </c>
      <c r="Q974" s="1">
        <v>45249</v>
      </c>
      <c r="R974" s="1">
        <v>45200</v>
      </c>
      <c r="S974" t="s">
        <v>138</v>
      </c>
      <c r="T974" s="1">
        <v>45231</v>
      </c>
      <c r="U974">
        <v>2023</v>
      </c>
    </row>
    <row r="975" spans="1:21" x14ac:dyDescent="0.3">
      <c r="A975" t="s">
        <v>1085</v>
      </c>
      <c r="B975" t="s">
        <v>37</v>
      </c>
      <c r="C975" t="s">
        <v>38</v>
      </c>
      <c r="D975" t="s">
        <v>188</v>
      </c>
      <c r="E975" s="1">
        <v>45240</v>
      </c>
      <c r="F975" t="s">
        <v>25</v>
      </c>
      <c r="G975" t="s">
        <v>98</v>
      </c>
      <c r="H975">
        <v>5</v>
      </c>
      <c r="I975">
        <v>23056</v>
      </c>
      <c r="J975">
        <v>115280</v>
      </c>
      <c r="K975">
        <v>44180</v>
      </c>
      <c r="L975">
        <v>19967</v>
      </c>
      <c r="M975">
        <v>51133</v>
      </c>
      <c r="N975">
        <v>29</v>
      </c>
      <c r="O975" t="s">
        <v>34</v>
      </c>
      <c r="P975" t="s">
        <v>99</v>
      </c>
      <c r="Q975" s="1">
        <v>45235</v>
      </c>
      <c r="R975" s="1">
        <v>45200</v>
      </c>
      <c r="S975" t="s">
        <v>138</v>
      </c>
      <c r="T975" s="1">
        <v>45231</v>
      </c>
      <c r="U975">
        <v>2023</v>
      </c>
    </row>
    <row r="976" spans="1:21" x14ac:dyDescent="0.3">
      <c r="A976" t="s">
        <v>1086</v>
      </c>
      <c r="B976" t="s">
        <v>37</v>
      </c>
      <c r="C976" t="s">
        <v>38</v>
      </c>
      <c r="D976" t="s">
        <v>221</v>
      </c>
      <c r="E976" s="1">
        <v>44950</v>
      </c>
      <c r="F976" t="s">
        <v>40</v>
      </c>
      <c r="G976" t="s">
        <v>58</v>
      </c>
      <c r="H976">
        <v>7</v>
      </c>
      <c r="I976">
        <v>50601</v>
      </c>
      <c r="J976">
        <v>354207</v>
      </c>
      <c r="K976">
        <v>129017</v>
      </c>
      <c r="L976">
        <v>66924</v>
      </c>
      <c r="M976">
        <v>158266</v>
      </c>
      <c r="N976">
        <v>4</v>
      </c>
      <c r="O976" t="s">
        <v>34</v>
      </c>
      <c r="P976" t="s">
        <v>62</v>
      </c>
      <c r="Q976" s="1">
        <v>44948</v>
      </c>
      <c r="R976" s="1">
        <v>44927</v>
      </c>
      <c r="S976" t="s">
        <v>95</v>
      </c>
      <c r="T976" s="1">
        <v>44927</v>
      </c>
      <c r="U976">
        <v>2023</v>
      </c>
    </row>
    <row r="977" spans="1:21" x14ac:dyDescent="0.3">
      <c r="A977" t="s">
        <v>1087</v>
      </c>
      <c r="B977" t="s">
        <v>31</v>
      </c>
      <c r="C977" t="s">
        <v>23</v>
      </c>
      <c r="D977" t="s">
        <v>48</v>
      </c>
      <c r="E977" s="1">
        <v>44941</v>
      </c>
      <c r="F977" t="s">
        <v>57</v>
      </c>
      <c r="G977" t="s">
        <v>33</v>
      </c>
      <c r="H977">
        <v>5</v>
      </c>
      <c r="I977">
        <v>16050</v>
      </c>
      <c r="J977">
        <v>80250</v>
      </c>
      <c r="K977">
        <v>27637</v>
      </c>
      <c r="L977">
        <v>15298</v>
      </c>
      <c r="M977">
        <v>37315</v>
      </c>
      <c r="N977">
        <v>27</v>
      </c>
      <c r="O977" t="s">
        <v>42</v>
      </c>
      <c r="P977" t="s">
        <v>28</v>
      </c>
      <c r="Q977" s="1">
        <v>44941</v>
      </c>
      <c r="R977" s="1">
        <v>44927</v>
      </c>
      <c r="S977" t="s">
        <v>95</v>
      </c>
      <c r="T977" s="1">
        <v>44927</v>
      </c>
      <c r="U977">
        <v>2023</v>
      </c>
    </row>
    <row r="978" spans="1:21" x14ac:dyDescent="0.3">
      <c r="A978" t="s">
        <v>1088</v>
      </c>
      <c r="B978" t="s">
        <v>72</v>
      </c>
      <c r="C978" t="s">
        <v>47</v>
      </c>
      <c r="D978" t="s">
        <v>135</v>
      </c>
      <c r="E978" s="1">
        <v>44953</v>
      </c>
      <c r="F978" t="s">
        <v>49</v>
      </c>
      <c r="G978" t="s">
        <v>81</v>
      </c>
      <c r="H978">
        <v>10</v>
      </c>
      <c r="I978">
        <v>49986</v>
      </c>
      <c r="J978">
        <v>499860</v>
      </c>
      <c r="K978">
        <v>258955</v>
      </c>
      <c r="L978">
        <v>75233</v>
      </c>
      <c r="M978">
        <v>165672</v>
      </c>
      <c r="N978">
        <v>50</v>
      </c>
      <c r="O978" t="s">
        <v>34</v>
      </c>
      <c r="P978" t="s">
        <v>99</v>
      </c>
      <c r="Q978" s="1">
        <v>44948</v>
      </c>
      <c r="R978" s="1">
        <v>44927</v>
      </c>
      <c r="S978" t="s">
        <v>95</v>
      </c>
      <c r="T978" s="1">
        <v>44927</v>
      </c>
      <c r="U978">
        <v>2023</v>
      </c>
    </row>
    <row r="979" spans="1:21" x14ac:dyDescent="0.3">
      <c r="A979" t="s">
        <v>1089</v>
      </c>
      <c r="B979" t="s">
        <v>22</v>
      </c>
      <c r="C979" t="s">
        <v>23</v>
      </c>
      <c r="D979" t="s">
        <v>135</v>
      </c>
      <c r="E979" s="1">
        <v>45112</v>
      </c>
      <c r="F979" t="s">
        <v>40</v>
      </c>
      <c r="G979" t="s">
        <v>41</v>
      </c>
      <c r="H979">
        <v>3</v>
      </c>
      <c r="I979">
        <v>6388</v>
      </c>
      <c r="J979">
        <v>19164</v>
      </c>
      <c r="K979">
        <v>10674</v>
      </c>
      <c r="L979">
        <v>2486</v>
      </c>
      <c r="M979">
        <v>6004</v>
      </c>
      <c r="N979">
        <v>46</v>
      </c>
      <c r="O979" t="s">
        <v>27</v>
      </c>
      <c r="P979" t="s">
        <v>43</v>
      </c>
      <c r="Q979" s="1">
        <v>45109</v>
      </c>
      <c r="R979" s="1">
        <v>45108</v>
      </c>
      <c r="S979" t="s">
        <v>29</v>
      </c>
      <c r="T979" s="1">
        <v>45108</v>
      </c>
      <c r="U979">
        <v>2023</v>
      </c>
    </row>
    <row r="980" spans="1:21" x14ac:dyDescent="0.3">
      <c r="A980" t="s">
        <v>1090</v>
      </c>
      <c r="B980" t="s">
        <v>46</v>
      </c>
      <c r="C980" t="s">
        <v>47</v>
      </c>
      <c r="D980" t="s">
        <v>32</v>
      </c>
      <c r="E980" s="1">
        <v>45191</v>
      </c>
      <c r="F980" t="s">
        <v>49</v>
      </c>
      <c r="G980" t="s">
        <v>33</v>
      </c>
      <c r="H980">
        <v>3</v>
      </c>
      <c r="I980">
        <v>38340</v>
      </c>
      <c r="J980">
        <v>115020</v>
      </c>
      <c r="K980">
        <v>57737</v>
      </c>
      <c r="L980">
        <v>15966</v>
      </c>
      <c r="M980">
        <v>41317</v>
      </c>
      <c r="N980">
        <v>12</v>
      </c>
      <c r="O980" t="s">
        <v>34</v>
      </c>
      <c r="P980" t="s">
        <v>99</v>
      </c>
      <c r="Q980" s="1">
        <v>45186</v>
      </c>
      <c r="R980" s="1">
        <v>45108</v>
      </c>
      <c r="S980" t="s">
        <v>104</v>
      </c>
      <c r="T980" s="1">
        <v>45170</v>
      </c>
      <c r="U980">
        <v>2023</v>
      </c>
    </row>
    <row r="981" spans="1:21" x14ac:dyDescent="0.3">
      <c r="A981" t="s">
        <v>1091</v>
      </c>
      <c r="B981" t="s">
        <v>37</v>
      </c>
      <c r="C981" t="s">
        <v>38</v>
      </c>
      <c r="D981" t="s">
        <v>70</v>
      </c>
      <c r="E981" s="1">
        <v>45070</v>
      </c>
      <c r="F981" t="s">
        <v>57</v>
      </c>
      <c r="G981" t="s">
        <v>98</v>
      </c>
      <c r="H981">
        <v>3</v>
      </c>
      <c r="I981">
        <v>61167</v>
      </c>
      <c r="J981">
        <v>183501</v>
      </c>
      <c r="K981">
        <v>69736</v>
      </c>
      <c r="L981">
        <v>32716</v>
      </c>
      <c r="M981">
        <v>81049</v>
      </c>
      <c r="N981">
        <v>49</v>
      </c>
      <c r="O981" t="s">
        <v>42</v>
      </c>
      <c r="P981" t="s">
        <v>43</v>
      </c>
      <c r="Q981" s="1">
        <v>45067</v>
      </c>
      <c r="R981" s="1">
        <v>45017</v>
      </c>
      <c r="S981" t="s">
        <v>68</v>
      </c>
      <c r="T981" s="1">
        <v>45047</v>
      </c>
      <c r="U981">
        <v>2023</v>
      </c>
    </row>
    <row r="982" spans="1:21" x14ac:dyDescent="0.3">
      <c r="A982" t="s">
        <v>1092</v>
      </c>
      <c r="B982" t="s">
        <v>37</v>
      </c>
      <c r="C982" t="s">
        <v>38</v>
      </c>
      <c r="D982" t="s">
        <v>135</v>
      </c>
      <c r="E982" s="1">
        <v>44954</v>
      </c>
      <c r="F982" t="s">
        <v>49</v>
      </c>
      <c r="G982" t="s">
        <v>33</v>
      </c>
      <c r="H982">
        <v>10</v>
      </c>
      <c r="I982">
        <v>23640</v>
      </c>
      <c r="J982">
        <v>236400</v>
      </c>
      <c r="K982">
        <v>102257</v>
      </c>
      <c r="L982">
        <v>46518</v>
      </c>
      <c r="M982">
        <v>87625</v>
      </c>
      <c r="N982">
        <v>5</v>
      </c>
      <c r="O982" t="s">
        <v>50</v>
      </c>
      <c r="P982" t="s">
        <v>67</v>
      </c>
      <c r="Q982" s="1">
        <v>44948</v>
      </c>
      <c r="R982" s="1">
        <v>44927</v>
      </c>
      <c r="S982" t="s">
        <v>95</v>
      </c>
      <c r="T982" s="1">
        <v>44927</v>
      </c>
      <c r="U982">
        <v>2023</v>
      </c>
    </row>
    <row r="983" spans="1:21" x14ac:dyDescent="0.3">
      <c r="A983" t="s">
        <v>1093</v>
      </c>
      <c r="B983" t="s">
        <v>46</v>
      </c>
      <c r="C983" t="s">
        <v>47</v>
      </c>
      <c r="D983" t="s">
        <v>301</v>
      </c>
      <c r="E983" s="1">
        <v>45229</v>
      </c>
      <c r="F983" t="s">
        <v>25</v>
      </c>
      <c r="G983" t="s">
        <v>26</v>
      </c>
      <c r="H983">
        <v>5</v>
      </c>
      <c r="I983">
        <v>40355</v>
      </c>
      <c r="J983">
        <v>201775</v>
      </c>
      <c r="K983">
        <v>103581</v>
      </c>
      <c r="L983">
        <v>39200</v>
      </c>
      <c r="M983">
        <v>58994</v>
      </c>
      <c r="N983">
        <v>19</v>
      </c>
      <c r="O983" t="s">
        <v>61</v>
      </c>
      <c r="P983" t="s">
        <v>51</v>
      </c>
      <c r="Q983" s="1">
        <v>45228</v>
      </c>
      <c r="R983" s="1">
        <v>45200</v>
      </c>
      <c r="S983" t="s">
        <v>52</v>
      </c>
      <c r="T983" s="1">
        <v>45200</v>
      </c>
      <c r="U983">
        <v>2023</v>
      </c>
    </row>
    <row r="984" spans="1:21" x14ac:dyDescent="0.3">
      <c r="A984" t="s">
        <v>1094</v>
      </c>
      <c r="B984" t="s">
        <v>37</v>
      </c>
      <c r="C984" t="s">
        <v>38</v>
      </c>
      <c r="D984" t="s">
        <v>39</v>
      </c>
      <c r="E984" s="1">
        <v>45005</v>
      </c>
      <c r="F984" t="s">
        <v>40</v>
      </c>
      <c r="G984" t="s">
        <v>41</v>
      </c>
      <c r="H984">
        <v>4</v>
      </c>
      <c r="I984">
        <v>64268</v>
      </c>
      <c r="J984">
        <v>257072</v>
      </c>
      <c r="K984">
        <v>111555</v>
      </c>
      <c r="L984">
        <v>34256</v>
      </c>
      <c r="M984">
        <v>111261</v>
      </c>
      <c r="N984">
        <v>39</v>
      </c>
      <c r="O984" t="s">
        <v>61</v>
      </c>
      <c r="P984" t="s">
        <v>51</v>
      </c>
      <c r="Q984" s="1">
        <v>45004</v>
      </c>
      <c r="R984" s="1">
        <v>44927</v>
      </c>
      <c r="S984" t="s">
        <v>44</v>
      </c>
      <c r="T984" s="1">
        <v>44986</v>
      </c>
      <c r="U984">
        <v>2023</v>
      </c>
    </row>
    <row r="985" spans="1:21" x14ac:dyDescent="0.3">
      <c r="A985" t="s">
        <v>1095</v>
      </c>
      <c r="B985" t="s">
        <v>31</v>
      </c>
      <c r="C985" t="s">
        <v>23</v>
      </c>
      <c r="D985" t="s">
        <v>117</v>
      </c>
      <c r="E985" s="1">
        <v>44939</v>
      </c>
      <c r="F985" t="s">
        <v>57</v>
      </c>
      <c r="G985" t="s">
        <v>98</v>
      </c>
      <c r="H985">
        <v>5</v>
      </c>
      <c r="I985">
        <v>57277</v>
      </c>
      <c r="J985">
        <v>286385</v>
      </c>
      <c r="K985">
        <v>130073</v>
      </c>
      <c r="L985">
        <v>56701</v>
      </c>
      <c r="M985">
        <v>99611</v>
      </c>
      <c r="N985">
        <v>26</v>
      </c>
      <c r="O985" t="s">
        <v>34</v>
      </c>
      <c r="P985" t="s">
        <v>99</v>
      </c>
      <c r="Q985" s="1">
        <v>44934</v>
      </c>
      <c r="R985" s="1">
        <v>44927</v>
      </c>
      <c r="S985" t="s">
        <v>95</v>
      </c>
      <c r="T985" s="1">
        <v>44927</v>
      </c>
      <c r="U985">
        <v>2023</v>
      </c>
    </row>
    <row r="986" spans="1:21" x14ac:dyDescent="0.3">
      <c r="A986" t="s">
        <v>1096</v>
      </c>
      <c r="B986" t="s">
        <v>46</v>
      </c>
      <c r="C986" t="s">
        <v>47</v>
      </c>
      <c r="D986" t="s">
        <v>91</v>
      </c>
      <c r="E986" s="1">
        <v>45161</v>
      </c>
      <c r="F986" t="s">
        <v>57</v>
      </c>
      <c r="G986" t="s">
        <v>98</v>
      </c>
      <c r="H986">
        <v>2</v>
      </c>
      <c r="I986">
        <v>28005</v>
      </c>
      <c r="J986">
        <v>56010</v>
      </c>
      <c r="K986">
        <v>27278</v>
      </c>
      <c r="L986">
        <v>11168</v>
      </c>
      <c r="M986">
        <v>17564</v>
      </c>
      <c r="N986">
        <v>42</v>
      </c>
      <c r="O986" t="s">
        <v>27</v>
      </c>
      <c r="P986" t="s">
        <v>43</v>
      </c>
      <c r="Q986" s="1">
        <v>45158</v>
      </c>
      <c r="R986" s="1">
        <v>45108</v>
      </c>
      <c r="S986" t="s">
        <v>92</v>
      </c>
      <c r="T986" s="1">
        <v>45139</v>
      </c>
      <c r="U986">
        <v>2023</v>
      </c>
    </row>
    <row r="987" spans="1:21" x14ac:dyDescent="0.3">
      <c r="A987" t="s">
        <v>1097</v>
      </c>
      <c r="B987" t="s">
        <v>22</v>
      </c>
      <c r="C987" t="s">
        <v>23</v>
      </c>
      <c r="D987" t="s">
        <v>117</v>
      </c>
      <c r="E987" s="1">
        <v>45138</v>
      </c>
      <c r="F987" t="s">
        <v>40</v>
      </c>
      <c r="G987" t="s">
        <v>98</v>
      </c>
      <c r="H987">
        <v>8</v>
      </c>
      <c r="I987">
        <v>67105</v>
      </c>
      <c r="J987">
        <v>536840</v>
      </c>
      <c r="K987">
        <v>242861</v>
      </c>
      <c r="L987">
        <v>73349</v>
      </c>
      <c r="M987">
        <v>220630</v>
      </c>
      <c r="N987">
        <v>21</v>
      </c>
      <c r="O987" t="s">
        <v>42</v>
      </c>
      <c r="P987" t="s">
        <v>51</v>
      </c>
      <c r="Q987" s="1">
        <v>45137</v>
      </c>
      <c r="R987" s="1">
        <v>45108</v>
      </c>
      <c r="S987" t="s">
        <v>29</v>
      </c>
      <c r="T987" s="1">
        <v>45108</v>
      </c>
      <c r="U987">
        <v>2023</v>
      </c>
    </row>
    <row r="988" spans="1:21" x14ac:dyDescent="0.3">
      <c r="A988" t="s">
        <v>1098</v>
      </c>
      <c r="B988" t="s">
        <v>22</v>
      </c>
      <c r="C988" t="s">
        <v>23</v>
      </c>
      <c r="D988" t="s">
        <v>123</v>
      </c>
      <c r="E988" s="1">
        <v>44936</v>
      </c>
      <c r="F988" t="s">
        <v>25</v>
      </c>
      <c r="G988" t="s">
        <v>64</v>
      </c>
      <c r="H988">
        <v>2</v>
      </c>
      <c r="I988">
        <v>48814</v>
      </c>
      <c r="J988">
        <v>97628</v>
      </c>
      <c r="K988">
        <v>39401</v>
      </c>
      <c r="L988">
        <v>13568</v>
      </c>
      <c r="M988">
        <v>44659</v>
      </c>
      <c r="N988">
        <v>31</v>
      </c>
      <c r="O988" t="s">
        <v>27</v>
      </c>
      <c r="P988" t="s">
        <v>62</v>
      </c>
      <c r="Q988" s="1">
        <v>44934</v>
      </c>
      <c r="R988" s="1">
        <v>44927</v>
      </c>
      <c r="S988" t="s">
        <v>95</v>
      </c>
      <c r="T988" s="1">
        <v>44927</v>
      </c>
      <c r="U988">
        <v>2023</v>
      </c>
    </row>
    <row r="989" spans="1:21" x14ac:dyDescent="0.3">
      <c r="A989" t="s">
        <v>1099</v>
      </c>
      <c r="B989" t="s">
        <v>72</v>
      </c>
      <c r="C989" t="s">
        <v>47</v>
      </c>
      <c r="D989" t="s">
        <v>196</v>
      </c>
      <c r="E989" s="1">
        <v>45050</v>
      </c>
      <c r="F989" t="s">
        <v>57</v>
      </c>
      <c r="G989" t="s">
        <v>26</v>
      </c>
      <c r="H989">
        <v>9</v>
      </c>
      <c r="I989">
        <v>19763</v>
      </c>
      <c r="J989">
        <v>177867</v>
      </c>
      <c r="K989">
        <v>60085</v>
      </c>
      <c r="L989">
        <v>23253</v>
      </c>
      <c r="M989">
        <v>94529</v>
      </c>
      <c r="N989">
        <v>0</v>
      </c>
      <c r="O989" t="s">
        <v>42</v>
      </c>
      <c r="P989" t="s">
        <v>84</v>
      </c>
      <c r="Q989" s="1">
        <v>45046</v>
      </c>
      <c r="R989" s="1">
        <v>45017</v>
      </c>
      <c r="S989" t="s">
        <v>68</v>
      </c>
      <c r="T989" s="1">
        <v>45047</v>
      </c>
      <c r="U989">
        <v>2023</v>
      </c>
    </row>
    <row r="990" spans="1:21" x14ac:dyDescent="0.3">
      <c r="A990" t="s">
        <v>1100</v>
      </c>
      <c r="B990" t="s">
        <v>46</v>
      </c>
      <c r="C990" t="s">
        <v>47</v>
      </c>
      <c r="D990" t="s">
        <v>219</v>
      </c>
      <c r="E990" s="1">
        <v>45125</v>
      </c>
      <c r="F990" t="s">
        <v>25</v>
      </c>
      <c r="G990" t="s">
        <v>98</v>
      </c>
      <c r="H990">
        <v>8</v>
      </c>
      <c r="I990">
        <v>7927</v>
      </c>
      <c r="J990">
        <v>63416</v>
      </c>
      <c r="K990">
        <v>34937</v>
      </c>
      <c r="L990">
        <v>8334</v>
      </c>
      <c r="M990">
        <v>20145</v>
      </c>
      <c r="N990">
        <v>27</v>
      </c>
      <c r="O990" t="s">
        <v>61</v>
      </c>
      <c r="P990" t="s">
        <v>62</v>
      </c>
      <c r="Q990" s="1">
        <v>45123</v>
      </c>
      <c r="R990" s="1">
        <v>45108</v>
      </c>
      <c r="S990" t="s">
        <v>29</v>
      </c>
      <c r="T990" s="1">
        <v>45108</v>
      </c>
      <c r="U990">
        <v>2023</v>
      </c>
    </row>
    <row r="991" spans="1:21" x14ac:dyDescent="0.3">
      <c r="A991" t="s">
        <v>1101</v>
      </c>
      <c r="B991" t="s">
        <v>72</v>
      </c>
      <c r="C991" t="s">
        <v>47</v>
      </c>
      <c r="D991" t="s">
        <v>89</v>
      </c>
      <c r="E991" s="1">
        <v>44928</v>
      </c>
      <c r="F991" t="s">
        <v>40</v>
      </c>
      <c r="G991" t="s">
        <v>26</v>
      </c>
      <c r="H991">
        <v>10</v>
      </c>
      <c r="I991">
        <v>57236</v>
      </c>
      <c r="J991">
        <v>572360</v>
      </c>
      <c r="K991">
        <v>182011</v>
      </c>
      <c r="L991">
        <v>89851</v>
      </c>
      <c r="M991">
        <v>300498</v>
      </c>
      <c r="N991">
        <v>16</v>
      </c>
      <c r="O991" t="s">
        <v>61</v>
      </c>
      <c r="P991" t="s">
        <v>51</v>
      </c>
      <c r="Q991" s="1">
        <v>44927</v>
      </c>
      <c r="R991" s="1">
        <v>44927</v>
      </c>
      <c r="S991" t="s">
        <v>95</v>
      </c>
      <c r="T991" s="1">
        <v>44927</v>
      </c>
      <c r="U991">
        <v>2023</v>
      </c>
    </row>
    <row r="992" spans="1:21" x14ac:dyDescent="0.3">
      <c r="A992" t="s">
        <v>1102</v>
      </c>
      <c r="B992" t="s">
        <v>37</v>
      </c>
      <c r="C992" t="s">
        <v>38</v>
      </c>
      <c r="D992" t="s">
        <v>54</v>
      </c>
      <c r="E992" s="1">
        <v>45105</v>
      </c>
      <c r="F992" t="s">
        <v>25</v>
      </c>
      <c r="G992" t="s">
        <v>58</v>
      </c>
      <c r="H992">
        <v>7</v>
      </c>
      <c r="I992">
        <v>64549</v>
      </c>
      <c r="J992">
        <v>451843</v>
      </c>
      <c r="K992">
        <v>199152</v>
      </c>
      <c r="L992">
        <v>53046</v>
      </c>
      <c r="M992">
        <v>199645</v>
      </c>
      <c r="N992">
        <v>6</v>
      </c>
      <c r="O992" t="s">
        <v>34</v>
      </c>
      <c r="P992" t="s">
        <v>43</v>
      </c>
      <c r="Q992" s="1">
        <v>45102</v>
      </c>
      <c r="R992" s="1">
        <v>45017</v>
      </c>
      <c r="S992" t="s">
        <v>35</v>
      </c>
      <c r="T992" s="1">
        <v>45078</v>
      </c>
      <c r="U992">
        <v>2023</v>
      </c>
    </row>
    <row r="993" spans="1:21" x14ac:dyDescent="0.3">
      <c r="A993" t="s">
        <v>1103</v>
      </c>
      <c r="B993" t="s">
        <v>46</v>
      </c>
      <c r="C993" t="s">
        <v>47</v>
      </c>
      <c r="D993" t="s">
        <v>111</v>
      </c>
      <c r="E993" s="1">
        <v>44955</v>
      </c>
      <c r="F993" t="s">
        <v>25</v>
      </c>
      <c r="G993" t="s">
        <v>64</v>
      </c>
      <c r="H993">
        <v>3</v>
      </c>
      <c r="I993">
        <v>40450</v>
      </c>
      <c r="J993">
        <v>121350</v>
      </c>
      <c r="K993">
        <v>50581</v>
      </c>
      <c r="L993">
        <v>14340</v>
      </c>
      <c r="M993">
        <v>56429</v>
      </c>
      <c r="N993">
        <v>22</v>
      </c>
      <c r="O993" t="s">
        <v>61</v>
      </c>
      <c r="P993" t="s">
        <v>28</v>
      </c>
      <c r="Q993" s="1">
        <v>44955</v>
      </c>
      <c r="R993" s="1">
        <v>44927</v>
      </c>
      <c r="S993" t="s">
        <v>95</v>
      </c>
      <c r="T993" s="1">
        <v>44927</v>
      </c>
      <c r="U993">
        <v>2023</v>
      </c>
    </row>
    <row r="994" spans="1:21" x14ac:dyDescent="0.3">
      <c r="A994" t="s">
        <v>1104</v>
      </c>
      <c r="B994" t="s">
        <v>31</v>
      </c>
      <c r="C994" t="s">
        <v>23</v>
      </c>
      <c r="D994" t="s">
        <v>80</v>
      </c>
      <c r="E994" s="1">
        <v>45182</v>
      </c>
      <c r="F994" t="s">
        <v>25</v>
      </c>
      <c r="G994" t="s">
        <v>26</v>
      </c>
      <c r="H994">
        <v>3</v>
      </c>
      <c r="I994">
        <v>51716</v>
      </c>
      <c r="J994">
        <v>155148</v>
      </c>
      <c r="K994">
        <v>68728</v>
      </c>
      <c r="L994">
        <v>19294</v>
      </c>
      <c r="M994">
        <v>67126</v>
      </c>
      <c r="N994">
        <v>11</v>
      </c>
      <c r="O994" t="s">
        <v>50</v>
      </c>
      <c r="P994" t="s">
        <v>43</v>
      </c>
      <c r="Q994" s="1">
        <v>45179</v>
      </c>
      <c r="R994" s="1">
        <v>45108</v>
      </c>
      <c r="S994" t="s">
        <v>104</v>
      </c>
      <c r="T994" s="1">
        <v>45170</v>
      </c>
      <c r="U994">
        <v>2023</v>
      </c>
    </row>
    <row r="995" spans="1:21" x14ac:dyDescent="0.3">
      <c r="A995" t="s">
        <v>1105</v>
      </c>
      <c r="B995" t="s">
        <v>46</v>
      </c>
      <c r="C995" t="s">
        <v>47</v>
      </c>
      <c r="D995" t="s">
        <v>142</v>
      </c>
      <c r="E995" s="1">
        <v>45221</v>
      </c>
      <c r="F995" t="s">
        <v>57</v>
      </c>
      <c r="G995" t="s">
        <v>41</v>
      </c>
      <c r="H995">
        <v>10</v>
      </c>
      <c r="I995">
        <v>55128</v>
      </c>
      <c r="J995">
        <v>551280</v>
      </c>
      <c r="K995">
        <v>174206</v>
      </c>
      <c r="L995">
        <v>65013</v>
      </c>
      <c r="M995">
        <v>312061</v>
      </c>
      <c r="N995">
        <v>50</v>
      </c>
      <c r="O995" t="s">
        <v>50</v>
      </c>
      <c r="P995" t="s">
        <v>28</v>
      </c>
      <c r="Q995" s="1">
        <v>45221</v>
      </c>
      <c r="R995" s="1">
        <v>45200</v>
      </c>
      <c r="S995" t="s">
        <v>52</v>
      </c>
      <c r="T995" s="1">
        <v>45200</v>
      </c>
      <c r="U995">
        <v>2023</v>
      </c>
    </row>
    <row r="996" spans="1:21" x14ac:dyDescent="0.3">
      <c r="A996" t="s">
        <v>1106</v>
      </c>
      <c r="B996" t="s">
        <v>31</v>
      </c>
      <c r="C996" t="s">
        <v>23</v>
      </c>
      <c r="D996" t="s">
        <v>174</v>
      </c>
      <c r="E996" s="1">
        <v>45239</v>
      </c>
      <c r="F996" t="s">
        <v>49</v>
      </c>
      <c r="G996" t="s">
        <v>33</v>
      </c>
      <c r="H996">
        <v>8</v>
      </c>
      <c r="I996">
        <v>48218</v>
      </c>
      <c r="J996">
        <v>385744</v>
      </c>
      <c r="K996">
        <v>219557</v>
      </c>
      <c r="L996">
        <v>54119</v>
      </c>
      <c r="M996">
        <v>112068</v>
      </c>
      <c r="N996">
        <v>36</v>
      </c>
      <c r="O996" t="s">
        <v>50</v>
      </c>
      <c r="P996" t="s">
        <v>84</v>
      </c>
      <c r="Q996" s="1">
        <v>45235</v>
      </c>
      <c r="R996" s="1">
        <v>45200</v>
      </c>
      <c r="S996" t="s">
        <v>138</v>
      </c>
      <c r="T996" s="1">
        <v>45231</v>
      </c>
      <c r="U996">
        <v>2023</v>
      </c>
    </row>
    <row r="997" spans="1:21" x14ac:dyDescent="0.3">
      <c r="A997" t="s">
        <v>1107</v>
      </c>
      <c r="B997" t="s">
        <v>31</v>
      </c>
      <c r="C997" t="s">
        <v>23</v>
      </c>
      <c r="D997" t="s">
        <v>137</v>
      </c>
      <c r="E997" s="1">
        <v>45084</v>
      </c>
      <c r="F997" t="s">
        <v>49</v>
      </c>
      <c r="G997" t="s">
        <v>64</v>
      </c>
      <c r="H997">
        <v>2</v>
      </c>
      <c r="I997">
        <v>58314</v>
      </c>
      <c r="J997">
        <v>116628</v>
      </c>
      <c r="K997">
        <v>39360</v>
      </c>
      <c r="L997">
        <v>15785</v>
      </c>
      <c r="M997">
        <v>61483</v>
      </c>
      <c r="N997">
        <v>14</v>
      </c>
      <c r="O997" t="s">
        <v>50</v>
      </c>
      <c r="P997" t="s">
        <v>43</v>
      </c>
      <c r="Q997" s="1">
        <v>45081</v>
      </c>
      <c r="R997" s="1">
        <v>45017</v>
      </c>
      <c r="S997" t="s">
        <v>35</v>
      </c>
      <c r="T997" s="1">
        <v>45078</v>
      </c>
      <c r="U997">
        <v>2023</v>
      </c>
    </row>
    <row r="998" spans="1:21" x14ac:dyDescent="0.3">
      <c r="A998" t="s">
        <v>1108</v>
      </c>
      <c r="B998" t="s">
        <v>22</v>
      </c>
      <c r="C998" t="s">
        <v>23</v>
      </c>
      <c r="D998" t="s">
        <v>145</v>
      </c>
      <c r="E998" s="1">
        <v>45166</v>
      </c>
      <c r="F998" t="s">
        <v>25</v>
      </c>
      <c r="G998" t="s">
        <v>64</v>
      </c>
      <c r="H998">
        <v>2</v>
      </c>
      <c r="I998">
        <v>34906</v>
      </c>
      <c r="J998">
        <v>69812</v>
      </c>
      <c r="K998">
        <v>32188</v>
      </c>
      <c r="L998">
        <v>13219</v>
      </c>
      <c r="M998">
        <v>24405</v>
      </c>
      <c r="N998">
        <v>31</v>
      </c>
      <c r="O998" t="s">
        <v>42</v>
      </c>
      <c r="P998" t="s">
        <v>51</v>
      </c>
      <c r="Q998" s="1">
        <v>45165</v>
      </c>
      <c r="R998" s="1">
        <v>45108</v>
      </c>
      <c r="S998" t="s">
        <v>92</v>
      </c>
      <c r="T998" s="1">
        <v>45139</v>
      </c>
      <c r="U998">
        <v>2023</v>
      </c>
    </row>
    <row r="999" spans="1:21" x14ac:dyDescent="0.3">
      <c r="A999" t="s">
        <v>1109</v>
      </c>
      <c r="B999" t="s">
        <v>37</v>
      </c>
      <c r="C999" t="s">
        <v>38</v>
      </c>
      <c r="D999" t="s">
        <v>190</v>
      </c>
      <c r="E999" s="1">
        <v>45243</v>
      </c>
      <c r="F999" t="s">
        <v>49</v>
      </c>
      <c r="G999" t="s">
        <v>64</v>
      </c>
      <c r="H999">
        <v>9</v>
      </c>
      <c r="I999">
        <v>43246</v>
      </c>
      <c r="J999">
        <v>389214</v>
      </c>
      <c r="K999">
        <v>225589</v>
      </c>
      <c r="L999">
        <v>45303</v>
      </c>
      <c r="M999">
        <v>118322</v>
      </c>
      <c r="N999">
        <v>8</v>
      </c>
      <c r="O999" t="s">
        <v>34</v>
      </c>
      <c r="P999" t="s">
        <v>51</v>
      </c>
      <c r="Q999" s="1">
        <v>45242</v>
      </c>
      <c r="R999" s="1">
        <v>45200</v>
      </c>
      <c r="S999" t="s">
        <v>138</v>
      </c>
      <c r="T999" s="1">
        <v>45231</v>
      </c>
      <c r="U999">
        <v>2023</v>
      </c>
    </row>
    <row r="1000" spans="1:21" x14ac:dyDescent="0.3">
      <c r="A1000" t="s">
        <v>1110</v>
      </c>
      <c r="B1000" t="s">
        <v>37</v>
      </c>
      <c r="C1000" t="s">
        <v>38</v>
      </c>
      <c r="D1000" t="s">
        <v>60</v>
      </c>
      <c r="E1000" s="1">
        <v>45186</v>
      </c>
      <c r="F1000" t="s">
        <v>57</v>
      </c>
      <c r="G1000" t="s">
        <v>41</v>
      </c>
      <c r="H1000">
        <v>6</v>
      </c>
      <c r="I1000">
        <v>16945</v>
      </c>
      <c r="J1000">
        <v>101670</v>
      </c>
      <c r="K1000">
        <v>50694</v>
      </c>
      <c r="L1000">
        <v>13281</v>
      </c>
      <c r="M1000">
        <v>37695</v>
      </c>
      <c r="N1000">
        <v>14</v>
      </c>
      <c r="O1000" t="s">
        <v>50</v>
      </c>
      <c r="P1000" t="s">
        <v>28</v>
      </c>
      <c r="Q1000" s="1">
        <v>45186</v>
      </c>
      <c r="R1000" s="1">
        <v>45108</v>
      </c>
      <c r="S1000" t="s">
        <v>104</v>
      </c>
      <c r="T1000" s="1">
        <v>45170</v>
      </c>
      <c r="U1000">
        <v>2023</v>
      </c>
    </row>
  </sheetData>
  <mergeCells count="1">
    <mergeCell ref="A1:U1"/>
  </mergeCell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B0E8A-67E2-4D2C-91E1-5E2BCE3D6E50}">
  <dimension ref="A1:Z14"/>
  <sheetViews>
    <sheetView workbookViewId="0">
      <selection activeCell="D15" sqref="D15"/>
    </sheetView>
  </sheetViews>
  <sheetFormatPr defaultRowHeight="14.4" x14ac:dyDescent="0.3"/>
  <cols>
    <col min="1" max="1" width="5.21875" customWidth="1"/>
    <col min="2" max="2" width="12.5546875" bestFit="1" customWidth="1"/>
    <col min="3" max="3" width="11.5546875" bestFit="1" customWidth="1"/>
    <col min="4" max="4" width="7.5546875" bestFit="1" customWidth="1"/>
    <col min="5" max="5" width="14.21875" bestFit="1" customWidth="1"/>
    <col min="7" max="7" width="14.44140625" customWidth="1"/>
    <col min="8" max="8" width="9" bestFit="1" customWidth="1"/>
    <col min="9" max="9" width="10" bestFit="1" customWidth="1"/>
    <col min="10" max="10" width="14.21875" customWidth="1"/>
    <col min="11" max="11" width="11.21875" customWidth="1"/>
    <col min="12" max="12" width="19.6640625" customWidth="1"/>
    <col min="13" max="13" width="12.109375" customWidth="1"/>
    <col min="15" max="15" width="16" customWidth="1"/>
    <col min="16" max="16" width="8" customWidth="1"/>
    <col min="17" max="17" width="12.109375" customWidth="1"/>
    <col min="19" max="19" width="23.6640625" customWidth="1"/>
    <col min="20" max="20" width="10" bestFit="1" customWidth="1"/>
    <col min="22" max="22" width="25.77734375" customWidth="1"/>
    <col min="23" max="23" width="20" customWidth="1"/>
    <col min="24" max="24" width="10.77734375" customWidth="1"/>
    <col min="25" max="25" width="19.6640625" customWidth="1"/>
    <col min="26" max="26" width="7" customWidth="1"/>
    <col min="27" max="27" width="20" customWidth="1"/>
    <col min="28" max="28" width="10.77734375" bestFit="1" customWidth="1"/>
  </cols>
  <sheetData>
    <row r="1" spans="1:26" x14ac:dyDescent="0.3">
      <c r="B1" s="3" t="s">
        <v>1114</v>
      </c>
      <c r="H1" s="3" t="s">
        <v>1114</v>
      </c>
      <c r="L1" s="3" t="s">
        <v>1114</v>
      </c>
      <c r="O1" s="3" t="s">
        <v>1116</v>
      </c>
      <c r="S1" s="3" t="s">
        <v>1112</v>
      </c>
      <c r="V1" s="3" t="s">
        <v>1122</v>
      </c>
      <c r="W1" s="3" t="s">
        <v>14</v>
      </c>
      <c r="Y1" s="3" t="s">
        <v>1112</v>
      </c>
    </row>
    <row r="2" spans="1:26" x14ac:dyDescent="0.3">
      <c r="B2" t="s">
        <v>1117</v>
      </c>
      <c r="C2" t="s">
        <v>1118</v>
      </c>
      <c r="D2" t="s">
        <v>1119</v>
      </c>
      <c r="E2" t="s">
        <v>1120</v>
      </c>
      <c r="G2" s="3" t="s">
        <v>18</v>
      </c>
      <c r="H2" t="s">
        <v>1123</v>
      </c>
      <c r="I2" t="s">
        <v>1117</v>
      </c>
      <c r="K2" s="3" t="s">
        <v>2</v>
      </c>
      <c r="L2" t="s">
        <v>1112</v>
      </c>
      <c r="M2" t="s">
        <v>1115</v>
      </c>
      <c r="O2" s="3" t="s">
        <v>5</v>
      </c>
      <c r="P2" t="s">
        <v>1113</v>
      </c>
      <c r="S2" s="3" t="s">
        <v>1</v>
      </c>
      <c r="T2" t="s">
        <v>1113</v>
      </c>
      <c r="V2" s="3" t="s">
        <v>1</v>
      </c>
      <c r="W2" t="s">
        <v>61</v>
      </c>
      <c r="Y2" s="3" t="s">
        <v>0</v>
      </c>
      <c r="Z2" t="s">
        <v>1113</v>
      </c>
    </row>
    <row r="3" spans="1:26" x14ac:dyDescent="0.3">
      <c r="A3" t="s">
        <v>1113</v>
      </c>
      <c r="B3" s="8">
        <v>196217416</v>
      </c>
      <c r="C3" s="8">
        <v>77910980</v>
      </c>
      <c r="D3" s="5">
        <v>0.65855233776123556</v>
      </c>
      <c r="E3" s="8">
        <v>5619</v>
      </c>
      <c r="G3" t="s">
        <v>95</v>
      </c>
      <c r="H3" s="4">
        <v>10078962</v>
      </c>
      <c r="I3" s="4">
        <v>25035627</v>
      </c>
      <c r="K3" t="s">
        <v>47</v>
      </c>
      <c r="L3" s="4">
        <v>77529407</v>
      </c>
      <c r="M3" s="4">
        <v>31091551</v>
      </c>
      <c r="O3" t="s">
        <v>40</v>
      </c>
      <c r="P3" s="6">
        <v>0.26107848371596371</v>
      </c>
      <c r="S3" t="s">
        <v>22</v>
      </c>
      <c r="T3" s="4">
        <v>40934426</v>
      </c>
      <c r="V3" t="s">
        <v>72</v>
      </c>
      <c r="W3" s="4">
        <v>46</v>
      </c>
      <c r="Y3" t="s">
        <v>185</v>
      </c>
      <c r="Z3" s="4">
        <v>698470</v>
      </c>
    </row>
    <row r="4" spans="1:26" x14ac:dyDescent="0.3">
      <c r="G4" t="s">
        <v>85</v>
      </c>
      <c r="H4" s="4">
        <v>5515784</v>
      </c>
      <c r="I4" s="4">
        <v>14317003</v>
      </c>
      <c r="K4" t="s">
        <v>38</v>
      </c>
      <c r="L4" s="4">
        <v>38548675</v>
      </c>
      <c r="M4" s="4">
        <v>14868098</v>
      </c>
      <c r="O4" t="s">
        <v>25</v>
      </c>
      <c r="P4" s="6">
        <v>0.24381562555614877</v>
      </c>
      <c r="S4" t="s">
        <v>72</v>
      </c>
      <c r="T4" s="4">
        <v>39512921</v>
      </c>
      <c r="V4" t="s">
        <v>46</v>
      </c>
      <c r="W4" s="4">
        <v>42</v>
      </c>
    </row>
    <row r="5" spans="1:26" x14ac:dyDescent="0.3">
      <c r="G5" t="s">
        <v>44</v>
      </c>
      <c r="H5" s="4">
        <v>6013308</v>
      </c>
      <c r="I5" s="4">
        <v>15501943</v>
      </c>
      <c r="K5" t="s">
        <v>23</v>
      </c>
      <c r="L5" s="4">
        <v>80139334</v>
      </c>
      <c r="M5" s="4">
        <v>31951331</v>
      </c>
      <c r="O5" t="s">
        <v>49</v>
      </c>
      <c r="P5" s="6">
        <v>0.24701904253425877</v>
      </c>
      <c r="S5" t="s">
        <v>31</v>
      </c>
      <c r="T5" s="4">
        <v>39204908</v>
      </c>
      <c r="V5" t="s">
        <v>31</v>
      </c>
      <c r="W5" s="4">
        <v>42</v>
      </c>
    </row>
    <row r="6" spans="1:26" x14ac:dyDescent="0.3">
      <c r="G6" t="s">
        <v>74</v>
      </c>
      <c r="H6" s="4">
        <v>7320781</v>
      </c>
      <c r="I6" s="4">
        <v>18679621</v>
      </c>
      <c r="K6" t="s">
        <v>1121</v>
      </c>
      <c r="L6" s="4">
        <v>196217416</v>
      </c>
      <c r="M6" s="4">
        <v>77910980</v>
      </c>
      <c r="O6" t="s">
        <v>57</v>
      </c>
      <c r="P6" s="6">
        <v>0.24808684819362875</v>
      </c>
      <c r="S6" t="s">
        <v>37</v>
      </c>
      <c r="T6" s="4">
        <v>38548675</v>
      </c>
      <c r="V6" t="s">
        <v>22</v>
      </c>
      <c r="W6" s="4">
        <v>41</v>
      </c>
    </row>
    <row r="7" spans="1:26" x14ac:dyDescent="0.3">
      <c r="B7" s="13" t="s">
        <v>1125</v>
      </c>
      <c r="C7" s="14">
        <f>SUMIF(Alankrit_Sales_Data[Start of Month],Dashboard!H19,Alankrit_Sales_Data[Total Revenue])</f>
        <v>18896500</v>
      </c>
      <c r="G7" t="s">
        <v>68</v>
      </c>
      <c r="H7" s="4">
        <v>7130478</v>
      </c>
      <c r="I7" s="4">
        <v>18097589</v>
      </c>
      <c r="O7" t="s">
        <v>1121</v>
      </c>
      <c r="P7" s="6">
        <v>1</v>
      </c>
      <c r="S7" t="s">
        <v>46</v>
      </c>
      <c r="T7" s="4">
        <v>38016486</v>
      </c>
      <c r="V7" t="s">
        <v>37</v>
      </c>
      <c r="W7" s="4">
        <v>39</v>
      </c>
    </row>
    <row r="8" spans="1:26" x14ac:dyDescent="0.3">
      <c r="B8" s="15" t="s">
        <v>1126</v>
      </c>
      <c r="C8" s="14">
        <f>SUMIF(Alankrit_Sales_Data[Start of Month],EDATE(Dashboard!H19,-1),Alankrit_Sales_Data[Total Revenue])</f>
        <v>23770768</v>
      </c>
      <c r="G8" t="s">
        <v>35</v>
      </c>
      <c r="H8" s="4">
        <v>6106492</v>
      </c>
      <c r="I8" s="4">
        <v>15820348</v>
      </c>
      <c r="S8" t="s">
        <v>1121</v>
      </c>
      <c r="T8" s="4">
        <v>196217416</v>
      </c>
    </row>
    <row r="9" spans="1:26" x14ac:dyDescent="0.3">
      <c r="B9" s="15" t="s">
        <v>1127</v>
      </c>
      <c r="C9" s="16">
        <f>(C7-C8)/C8</f>
        <v>-0.20505302983900225</v>
      </c>
      <c r="G9" t="s">
        <v>29</v>
      </c>
      <c r="H9" s="4">
        <v>6062208</v>
      </c>
      <c r="I9" s="4">
        <v>16245003</v>
      </c>
    </row>
    <row r="10" spans="1:26" x14ac:dyDescent="0.3">
      <c r="G10" t="s">
        <v>92</v>
      </c>
      <c r="H10" s="4">
        <v>6243061</v>
      </c>
      <c r="I10" s="4">
        <v>14905433</v>
      </c>
      <c r="S10" t="s">
        <v>22</v>
      </c>
      <c r="T10" s="7">
        <v>40934426</v>
      </c>
    </row>
    <row r="11" spans="1:26" x14ac:dyDescent="0.3">
      <c r="G11" t="s">
        <v>104</v>
      </c>
      <c r="H11" s="4">
        <v>9899019</v>
      </c>
      <c r="I11" s="4">
        <v>23770768</v>
      </c>
      <c r="S11" t="s">
        <v>72</v>
      </c>
      <c r="T11" s="7">
        <v>39512921</v>
      </c>
    </row>
    <row r="12" spans="1:26" x14ac:dyDescent="0.3">
      <c r="G12" t="s">
        <v>52</v>
      </c>
      <c r="H12" s="4">
        <v>7477376</v>
      </c>
      <c r="I12" s="4">
        <v>18896500</v>
      </c>
      <c r="S12" t="s">
        <v>31</v>
      </c>
      <c r="T12" s="7">
        <v>39204908</v>
      </c>
    </row>
    <row r="13" spans="1:26" x14ac:dyDescent="0.3">
      <c r="G13" t="s">
        <v>138</v>
      </c>
      <c r="H13" s="4">
        <v>6063511</v>
      </c>
      <c r="I13" s="4">
        <v>14947581</v>
      </c>
      <c r="S13" t="s">
        <v>37</v>
      </c>
      <c r="T13" s="7">
        <v>38548675</v>
      </c>
    </row>
    <row r="14" spans="1:26" x14ac:dyDescent="0.3">
      <c r="G14" t="s">
        <v>1121</v>
      </c>
      <c r="H14" s="4">
        <v>77910980</v>
      </c>
      <c r="I14" s="4">
        <v>196217416</v>
      </c>
      <c r="S14" t="s">
        <v>46</v>
      </c>
      <c r="T14" s="7">
        <v>38016486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2C30A-0EFC-4270-B0BD-32729D643991}">
  <dimension ref="B1:W29"/>
  <sheetViews>
    <sheetView showGridLines="0" tabSelected="1" topLeftCell="B1" zoomScaleNormal="100" workbookViewId="0">
      <selection activeCell="D31" sqref="D31"/>
    </sheetView>
  </sheetViews>
  <sheetFormatPr defaultRowHeight="14.4" x14ac:dyDescent="0.3"/>
  <cols>
    <col min="7" max="8" width="13.88671875" bestFit="1" customWidth="1"/>
  </cols>
  <sheetData>
    <row r="1" spans="2:23" x14ac:dyDescent="0.3">
      <c r="B1" s="9"/>
      <c r="C1" s="9"/>
      <c r="D1" s="9"/>
      <c r="E1" s="9"/>
      <c r="F1" s="9"/>
      <c r="G1" s="9"/>
      <c r="H1" s="9"/>
      <c r="I1" s="9"/>
      <c r="J1" s="9"/>
      <c r="K1" s="9"/>
      <c r="L1" s="9"/>
      <c r="M1" s="9"/>
      <c r="N1" s="9"/>
      <c r="O1" s="9"/>
      <c r="P1" s="9"/>
      <c r="Q1" s="9"/>
      <c r="R1" s="9"/>
      <c r="S1" s="9"/>
      <c r="T1" s="9"/>
      <c r="U1" s="9"/>
      <c r="V1" s="9"/>
      <c r="W1" s="9"/>
    </row>
    <row r="2" spans="2:23" x14ac:dyDescent="0.3">
      <c r="B2" s="9"/>
      <c r="C2" s="9"/>
      <c r="D2" s="9"/>
      <c r="E2" s="9"/>
      <c r="F2" s="9"/>
      <c r="G2" s="9"/>
      <c r="H2" s="9"/>
      <c r="I2" s="9"/>
      <c r="J2" s="9"/>
      <c r="K2" s="9"/>
      <c r="L2" s="9"/>
      <c r="M2" s="9"/>
      <c r="N2" s="9"/>
      <c r="O2" s="9"/>
      <c r="P2" s="9"/>
      <c r="Q2" s="9"/>
      <c r="R2" s="9"/>
      <c r="S2" s="9"/>
      <c r="T2" s="9"/>
      <c r="U2" s="9"/>
      <c r="V2" s="9"/>
      <c r="W2" s="9"/>
    </row>
    <row r="3" spans="2:23" x14ac:dyDescent="0.3">
      <c r="B3" s="9"/>
      <c r="C3" s="9"/>
      <c r="D3" s="9"/>
      <c r="E3" s="9"/>
      <c r="F3" s="9"/>
      <c r="G3" s="9"/>
      <c r="H3" s="9"/>
      <c r="I3" s="9"/>
      <c r="J3" s="9"/>
      <c r="K3" s="9"/>
      <c r="L3" s="9"/>
      <c r="M3" s="9"/>
      <c r="N3" s="9"/>
      <c r="O3" s="9"/>
      <c r="P3" s="9"/>
      <c r="Q3" s="9"/>
      <c r="R3" s="9"/>
      <c r="S3" s="9"/>
      <c r="T3" s="9"/>
      <c r="U3" s="9"/>
      <c r="V3" s="9"/>
      <c r="W3" s="9"/>
    </row>
    <row r="4" spans="2:23" x14ac:dyDescent="0.3">
      <c r="B4" s="9"/>
      <c r="C4" s="9"/>
      <c r="D4" s="9"/>
      <c r="E4" s="9"/>
      <c r="F4" s="9"/>
      <c r="G4" s="9"/>
      <c r="H4" s="9"/>
      <c r="I4" s="9"/>
      <c r="J4" s="9"/>
      <c r="K4" s="9"/>
      <c r="L4" s="9"/>
      <c r="M4" s="9"/>
      <c r="N4" s="9"/>
      <c r="O4" s="9"/>
      <c r="P4" s="9"/>
      <c r="Q4" s="9"/>
      <c r="R4" s="9"/>
      <c r="S4" s="9"/>
      <c r="T4" s="9"/>
      <c r="U4" s="9"/>
      <c r="V4" s="9"/>
      <c r="W4" s="9"/>
    </row>
    <row r="5" spans="2:23" x14ac:dyDescent="0.3">
      <c r="B5" s="9"/>
      <c r="C5" s="9"/>
      <c r="D5" s="9"/>
      <c r="E5" s="9"/>
      <c r="F5" s="9"/>
      <c r="G5" s="9"/>
      <c r="H5" s="9"/>
      <c r="I5" s="9"/>
      <c r="J5" s="9"/>
      <c r="K5" s="9"/>
      <c r="L5" s="9"/>
      <c r="M5" s="9"/>
      <c r="N5" s="9"/>
      <c r="O5" s="9"/>
      <c r="P5" s="9"/>
      <c r="Q5" s="9"/>
      <c r="R5" s="9"/>
      <c r="S5" s="9"/>
      <c r="T5" s="9"/>
      <c r="U5" s="9"/>
      <c r="V5" s="9"/>
      <c r="W5" s="9"/>
    </row>
    <row r="6" spans="2:23" x14ac:dyDescent="0.3">
      <c r="B6" s="9"/>
      <c r="C6" s="9"/>
      <c r="D6" s="9"/>
      <c r="E6" s="9"/>
      <c r="F6" s="9"/>
      <c r="G6" s="9"/>
      <c r="H6" s="9"/>
      <c r="I6" s="9"/>
      <c r="J6" s="9"/>
      <c r="K6" s="9"/>
      <c r="L6" s="9"/>
      <c r="M6" s="9"/>
      <c r="N6" s="9"/>
      <c r="O6" s="9"/>
      <c r="P6" s="9"/>
      <c r="Q6" s="9"/>
      <c r="R6" s="9"/>
      <c r="S6" s="9"/>
      <c r="T6" s="9"/>
      <c r="U6" s="9"/>
      <c r="V6" s="9"/>
      <c r="W6" s="9"/>
    </row>
    <row r="7" spans="2:23" x14ac:dyDescent="0.3">
      <c r="B7" s="9"/>
      <c r="C7" s="9"/>
      <c r="D7" s="9"/>
      <c r="E7" s="9"/>
      <c r="F7" s="9"/>
      <c r="G7" s="9"/>
      <c r="H7" s="9"/>
      <c r="I7" s="9"/>
      <c r="J7" s="9"/>
      <c r="K7" s="9"/>
      <c r="L7" s="9"/>
      <c r="M7" s="9"/>
      <c r="N7" s="9"/>
      <c r="O7" s="9"/>
      <c r="P7" s="9"/>
      <c r="Q7" s="9"/>
      <c r="R7" s="9"/>
      <c r="S7" s="9"/>
      <c r="T7" s="9"/>
      <c r="U7" s="9"/>
      <c r="V7" s="9"/>
      <c r="W7" s="9"/>
    </row>
    <row r="8" spans="2:23" x14ac:dyDescent="0.3">
      <c r="B8" s="9"/>
      <c r="C8" s="9"/>
      <c r="D8" s="9"/>
      <c r="E8" s="9"/>
      <c r="F8" s="9"/>
      <c r="G8" s="9"/>
      <c r="H8" s="9"/>
      <c r="I8" s="9"/>
      <c r="J8" s="9"/>
      <c r="K8" s="9"/>
      <c r="L8" s="9"/>
      <c r="M8" s="9"/>
      <c r="N8" s="9"/>
      <c r="O8" s="9"/>
      <c r="P8" s="9"/>
      <c r="Q8" s="9"/>
      <c r="R8" s="9"/>
      <c r="S8" s="9"/>
      <c r="T8" s="9"/>
      <c r="U8" s="9"/>
      <c r="V8" s="9"/>
      <c r="W8" s="9"/>
    </row>
    <row r="9" spans="2:23" x14ac:dyDescent="0.3">
      <c r="B9" s="9"/>
      <c r="C9" s="9"/>
      <c r="D9" s="9"/>
      <c r="E9" s="9"/>
      <c r="F9" s="9"/>
      <c r="G9" s="9"/>
      <c r="H9" s="9"/>
      <c r="I9" s="9"/>
      <c r="J9" s="9"/>
      <c r="K9" s="9"/>
      <c r="L9" s="9"/>
      <c r="M9" s="9"/>
      <c r="N9" s="9"/>
      <c r="O9" s="9"/>
      <c r="P9" s="9"/>
      <c r="Q9" s="9"/>
      <c r="R9" s="9"/>
      <c r="S9" s="9"/>
      <c r="T9" s="9"/>
      <c r="U9" s="9"/>
      <c r="V9" s="9"/>
      <c r="W9" s="9"/>
    </row>
    <row r="10" spans="2:23" x14ac:dyDescent="0.3">
      <c r="B10" s="9"/>
      <c r="C10" s="9"/>
      <c r="D10" s="9"/>
      <c r="E10" s="9"/>
      <c r="F10" s="9"/>
      <c r="G10" s="9"/>
      <c r="H10" s="9"/>
      <c r="I10" s="9"/>
      <c r="J10" s="9"/>
      <c r="K10" s="9"/>
      <c r="L10" s="9"/>
      <c r="M10" s="9"/>
      <c r="N10" s="9"/>
      <c r="O10" s="9"/>
      <c r="P10" s="9"/>
      <c r="Q10" s="9"/>
      <c r="R10" s="9"/>
      <c r="S10" s="9"/>
      <c r="T10" s="9"/>
      <c r="U10" s="9"/>
      <c r="V10" s="9"/>
      <c r="W10" s="9"/>
    </row>
    <row r="11" spans="2:23" x14ac:dyDescent="0.3">
      <c r="B11" s="9"/>
      <c r="C11" s="9"/>
      <c r="D11" s="9"/>
      <c r="E11" s="9"/>
      <c r="F11" s="9"/>
      <c r="G11" s="9"/>
      <c r="H11" s="9"/>
      <c r="I11" s="9"/>
      <c r="J11" s="9"/>
      <c r="K11" s="9"/>
      <c r="L11" s="9"/>
      <c r="M11" s="9"/>
      <c r="N11" s="9"/>
      <c r="O11" s="9"/>
      <c r="P11" s="9"/>
      <c r="Q11" s="9"/>
      <c r="R11" s="9"/>
      <c r="S11" s="9"/>
      <c r="T11" s="9"/>
      <c r="U11" s="9"/>
      <c r="V11" s="9"/>
      <c r="W11" s="9"/>
    </row>
    <row r="12" spans="2:23" x14ac:dyDescent="0.3">
      <c r="B12" s="9"/>
      <c r="C12" s="9"/>
      <c r="D12" s="9"/>
      <c r="E12" s="9"/>
      <c r="F12" s="9"/>
      <c r="G12" s="9"/>
      <c r="H12" s="9"/>
      <c r="I12" s="9"/>
      <c r="J12" s="9"/>
      <c r="K12" s="9"/>
      <c r="L12" s="9"/>
      <c r="M12" s="9"/>
      <c r="N12" s="9"/>
      <c r="O12" s="9"/>
      <c r="P12" s="9"/>
      <c r="Q12" s="9"/>
      <c r="R12" s="9"/>
      <c r="S12" s="9"/>
      <c r="T12" s="9"/>
      <c r="U12" s="9"/>
      <c r="V12" s="9"/>
      <c r="W12" s="9"/>
    </row>
    <row r="13" spans="2:23" x14ac:dyDescent="0.3">
      <c r="B13" s="9"/>
      <c r="C13" s="9"/>
      <c r="D13" s="9"/>
      <c r="E13" s="9"/>
      <c r="F13" s="9"/>
      <c r="G13" s="9"/>
      <c r="H13" s="9"/>
      <c r="I13" s="9"/>
      <c r="J13" s="9"/>
      <c r="K13" s="9"/>
      <c r="L13" s="9"/>
      <c r="M13" s="9"/>
      <c r="N13" s="9"/>
      <c r="O13" s="9"/>
      <c r="P13" s="9"/>
      <c r="Q13" s="9"/>
      <c r="R13" s="9"/>
      <c r="S13" s="9"/>
      <c r="T13" s="9"/>
      <c r="U13" s="9"/>
      <c r="V13" s="9"/>
      <c r="W13" s="9"/>
    </row>
    <row r="14" spans="2:23" x14ac:dyDescent="0.3">
      <c r="B14" s="9"/>
      <c r="C14" s="9"/>
      <c r="D14" s="9"/>
      <c r="E14" s="9"/>
      <c r="F14" s="9"/>
      <c r="G14" s="9"/>
      <c r="H14" s="9"/>
      <c r="I14" s="9"/>
      <c r="J14" s="9"/>
      <c r="K14" s="9"/>
      <c r="L14" s="9"/>
      <c r="M14" s="9"/>
      <c r="N14" s="9"/>
      <c r="O14" s="9"/>
      <c r="P14" s="9"/>
      <c r="Q14" s="9"/>
      <c r="R14" s="9"/>
      <c r="S14" s="9"/>
      <c r="T14" s="9"/>
      <c r="U14" s="9"/>
      <c r="V14" s="9"/>
      <c r="W14" s="9"/>
    </row>
    <row r="15" spans="2:23" x14ac:dyDescent="0.3">
      <c r="B15" s="9"/>
      <c r="C15" s="9"/>
      <c r="D15" s="9"/>
      <c r="E15" s="9"/>
      <c r="F15" s="9"/>
      <c r="G15" s="9"/>
      <c r="H15" s="9"/>
      <c r="I15" s="9"/>
      <c r="J15" s="9"/>
      <c r="K15" s="9"/>
      <c r="L15" s="9"/>
      <c r="M15" s="9"/>
      <c r="N15" s="9"/>
      <c r="O15" s="9"/>
      <c r="P15" s="9"/>
      <c r="Q15" s="9"/>
      <c r="R15" s="9"/>
      <c r="S15" s="9"/>
      <c r="T15" s="9"/>
      <c r="U15" s="9"/>
      <c r="V15" s="9"/>
      <c r="W15" s="9"/>
    </row>
    <row r="16" spans="2:23" x14ac:dyDescent="0.3">
      <c r="B16" s="9"/>
      <c r="C16" s="9"/>
      <c r="D16" s="9"/>
      <c r="E16" s="9"/>
      <c r="F16" s="9"/>
      <c r="G16" s="9"/>
      <c r="H16" s="9"/>
      <c r="I16" s="9"/>
      <c r="J16" s="9"/>
      <c r="K16" s="9"/>
      <c r="L16" s="9"/>
      <c r="M16" s="9"/>
      <c r="N16" s="9"/>
      <c r="O16" s="9"/>
      <c r="P16" s="9"/>
      <c r="Q16" s="9"/>
      <c r="R16" s="9"/>
      <c r="S16" s="9"/>
      <c r="T16" s="9"/>
      <c r="U16" s="9"/>
      <c r="V16" s="9"/>
      <c r="W16" s="9"/>
    </row>
    <row r="17" spans="2:23" x14ac:dyDescent="0.3">
      <c r="B17" s="9"/>
      <c r="C17" s="9"/>
      <c r="D17" s="9"/>
      <c r="E17" s="9"/>
      <c r="F17" s="9"/>
      <c r="G17" s="9"/>
      <c r="H17" s="9"/>
      <c r="I17" s="9"/>
      <c r="J17" s="9"/>
      <c r="K17" s="9"/>
      <c r="L17" s="9"/>
      <c r="M17" s="9"/>
      <c r="N17" s="9"/>
      <c r="O17" s="9"/>
      <c r="P17" s="9"/>
      <c r="Q17" s="9"/>
      <c r="R17" s="9"/>
      <c r="S17" s="9"/>
      <c r="T17" s="9"/>
      <c r="U17" s="9"/>
      <c r="V17" s="9"/>
      <c r="W17" s="9"/>
    </row>
    <row r="18" spans="2:23" x14ac:dyDescent="0.3">
      <c r="B18" s="9"/>
      <c r="C18" s="9"/>
      <c r="D18" s="9"/>
      <c r="E18" s="9"/>
      <c r="F18" s="9"/>
      <c r="G18" s="9"/>
      <c r="H18" s="9"/>
      <c r="I18" s="9"/>
      <c r="J18" s="9"/>
      <c r="K18" s="9"/>
      <c r="L18" s="9"/>
      <c r="M18" s="9"/>
      <c r="N18" s="9"/>
      <c r="O18" s="9"/>
      <c r="P18" s="9"/>
      <c r="Q18" s="9"/>
      <c r="R18" s="9"/>
      <c r="S18" s="9"/>
      <c r="T18" s="9"/>
      <c r="U18" s="9"/>
      <c r="V18" s="9"/>
      <c r="W18" s="9"/>
    </row>
    <row r="19" spans="2:23" ht="15.6" x14ac:dyDescent="0.3">
      <c r="B19" s="9"/>
      <c r="C19" s="9"/>
      <c r="D19" s="9"/>
      <c r="E19" s="9"/>
      <c r="F19" s="9"/>
      <c r="G19" s="11" t="s">
        <v>1124</v>
      </c>
      <c r="H19" s="12">
        <v>45200</v>
      </c>
      <c r="I19" s="9"/>
      <c r="J19" s="9"/>
      <c r="K19" s="9"/>
      <c r="L19" s="9"/>
      <c r="M19" s="9"/>
      <c r="N19" s="9"/>
      <c r="O19" s="9"/>
      <c r="P19" s="9"/>
      <c r="Q19" s="9"/>
      <c r="R19" s="9"/>
      <c r="S19" s="9"/>
      <c r="T19" s="9"/>
      <c r="U19" s="9"/>
      <c r="V19" s="9"/>
      <c r="W19" s="9"/>
    </row>
    <row r="20" spans="2:23" x14ac:dyDescent="0.3">
      <c r="B20" s="9"/>
      <c r="C20" s="9"/>
      <c r="D20" s="9"/>
      <c r="E20" s="9"/>
      <c r="F20" s="9"/>
      <c r="G20" s="9"/>
      <c r="H20" s="9"/>
      <c r="I20" s="9"/>
      <c r="J20" s="9"/>
      <c r="K20" s="9"/>
      <c r="L20" s="9"/>
      <c r="M20" s="9"/>
      <c r="N20" s="9"/>
      <c r="O20" s="9"/>
      <c r="P20" s="9"/>
      <c r="Q20" s="9"/>
      <c r="R20" s="9"/>
      <c r="S20" s="9"/>
      <c r="T20" s="9"/>
      <c r="U20" s="9"/>
      <c r="V20" s="9"/>
      <c r="W20" s="9"/>
    </row>
    <row r="21" spans="2:23" x14ac:dyDescent="0.3">
      <c r="B21" s="9"/>
      <c r="C21" s="9"/>
      <c r="D21" s="9"/>
      <c r="E21" s="9"/>
      <c r="F21" s="9"/>
      <c r="G21" s="9"/>
      <c r="H21" s="9"/>
      <c r="I21" s="9"/>
      <c r="J21" s="9"/>
      <c r="K21" s="9"/>
      <c r="L21" s="9"/>
      <c r="M21" s="9"/>
      <c r="N21" s="9"/>
      <c r="O21" s="9"/>
      <c r="P21" s="9"/>
      <c r="Q21" s="9"/>
      <c r="R21" s="9"/>
      <c r="S21" s="9"/>
      <c r="T21" s="9"/>
      <c r="U21" s="9"/>
      <c r="V21" s="9"/>
      <c r="W21" s="9"/>
    </row>
    <row r="22" spans="2:23" x14ac:dyDescent="0.3">
      <c r="B22" s="9"/>
      <c r="C22" s="9"/>
      <c r="D22" s="9"/>
      <c r="E22" s="9"/>
      <c r="F22" s="9"/>
      <c r="G22" s="9"/>
      <c r="H22" s="9"/>
      <c r="I22" s="9"/>
      <c r="J22" s="9"/>
      <c r="K22" s="9"/>
      <c r="L22" s="9"/>
      <c r="M22" s="9"/>
      <c r="N22" s="9"/>
      <c r="O22" s="9"/>
      <c r="P22" s="9"/>
      <c r="Q22" s="9"/>
      <c r="R22" s="9"/>
      <c r="S22" s="9"/>
      <c r="T22" s="9"/>
      <c r="U22" s="9"/>
      <c r="V22" s="9"/>
      <c r="W22" s="9"/>
    </row>
    <row r="23" spans="2:23" x14ac:dyDescent="0.3">
      <c r="B23" s="9"/>
      <c r="C23" s="9"/>
      <c r="D23" s="9"/>
      <c r="E23" s="9"/>
      <c r="F23" s="9"/>
      <c r="G23" s="9"/>
      <c r="H23" s="9"/>
      <c r="I23" s="9"/>
      <c r="J23" s="9"/>
      <c r="K23" s="9"/>
      <c r="L23" s="9"/>
      <c r="M23" s="9"/>
      <c r="N23" s="9"/>
      <c r="O23" s="9"/>
      <c r="P23" s="9"/>
      <c r="Q23" s="9"/>
      <c r="R23" s="9"/>
      <c r="S23" s="9"/>
      <c r="T23" s="9"/>
      <c r="U23" s="9"/>
      <c r="V23" s="9"/>
      <c r="W23" s="9"/>
    </row>
    <row r="24" spans="2:23" x14ac:dyDescent="0.3">
      <c r="B24" s="9"/>
      <c r="C24" s="9"/>
      <c r="D24" s="9"/>
      <c r="E24" s="9"/>
      <c r="F24" s="9"/>
      <c r="G24" s="9"/>
      <c r="H24" s="9"/>
      <c r="I24" s="9"/>
      <c r="J24" s="9"/>
      <c r="K24" s="9"/>
      <c r="L24" s="9"/>
      <c r="M24" s="9"/>
      <c r="N24" s="9"/>
      <c r="O24" s="9"/>
      <c r="P24" s="9"/>
      <c r="Q24" s="9"/>
      <c r="R24" s="9"/>
      <c r="S24" s="9"/>
      <c r="T24" s="9"/>
      <c r="U24" s="9"/>
      <c r="V24" s="9"/>
      <c r="W24" s="9"/>
    </row>
    <row r="25" spans="2:23" x14ac:dyDescent="0.3">
      <c r="B25" s="9"/>
      <c r="C25" s="9"/>
      <c r="D25" s="9"/>
      <c r="E25" s="9"/>
      <c r="F25" s="9"/>
      <c r="G25" s="9"/>
      <c r="H25" s="9"/>
      <c r="I25" s="9"/>
      <c r="J25" s="9"/>
      <c r="K25" s="9"/>
      <c r="L25" s="9"/>
      <c r="M25" s="9"/>
      <c r="N25" s="9"/>
      <c r="O25" s="9"/>
      <c r="P25" s="9"/>
      <c r="Q25" s="9"/>
      <c r="R25" s="9"/>
      <c r="S25" s="9"/>
      <c r="T25" s="9"/>
      <c r="U25" s="9"/>
      <c r="V25" s="9"/>
      <c r="W25" s="9"/>
    </row>
    <row r="26" spans="2:23" x14ac:dyDescent="0.3">
      <c r="B26" s="9"/>
      <c r="C26" s="9"/>
      <c r="D26" s="9"/>
      <c r="E26" s="9"/>
      <c r="F26" s="9"/>
      <c r="G26" s="9"/>
      <c r="H26" s="9"/>
      <c r="I26" s="9"/>
      <c r="J26" s="9"/>
      <c r="K26" s="9"/>
      <c r="L26" s="9"/>
      <c r="M26" s="9"/>
      <c r="N26" s="9"/>
      <c r="O26" s="9"/>
      <c r="P26" s="9"/>
      <c r="Q26" s="9"/>
      <c r="R26" s="9"/>
      <c r="S26" s="9"/>
      <c r="T26" s="9"/>
      <c r="U26" s="9"/>
      <c r="V26" s="9"/>
      <c r="W26" s="9"/>
    </row>
    <row r="27" spans="2:23" x14ac:dyDescent="0.3">
      <c r="B27" s="9"/>
      <c r="C27" s="9"/>
      <c r="D27" s="9"/>
      <c r="E27" s="9"/>
      <c r="F27" s="9"/>
      <c r="G27" s="9"/>
      <c r="H27" s="9"/>
      <c r="I27" s="9"/>
      <c r="J27" s="9"/>
      <c r="K27" s="9"/>
      <c r="L27" s="9"/>
      <c r="M27" s="9"/>
      <c r="N27" s="9"/>
      <c r="O27" s="9"/>
      <c r="P27" s="9"/>
      <c r="Q27" s="9"/>
      <c r="R27" s="9"/>
      <c r="S27" s="9"/>
      <c r="T27" s="9"/>
      <c r="U27" s="9"/>
      <c r="V27" s="9"/>
      <c r="W27" s="9"/>
    </row>
    <row r="28" spans="2:23" x14ac:dyDescent="0.3">
      <c r="B28" s="9"/>
      <c r="C28" s="9"/>
      <c r="D28" s="9"/>
      <c r="E28" s="9"/>
      <c r="F28" s="9"/>
      <c r="G28" s="9"/>
      <c r="H28" s="9"/>
      <c r="I28" s="9"/>
      <c r="J28" s="9"/>
      <c r="K28" s="9"/>
      <c r="L28" s="9"/>
      <c r="M28" s="9"/>
      <c r="N28" s="9"/>
      <c r="O28" s="9"/>
      <c r="P28" s="9"/>
      <c r="Q28" s="9"/>
      <c r="R28" s="9"/>
      <c r="S28" s="9"/>
      <c r="T28" s="9"/>
      <c r="U28" s="9"/>
      <c r="V28" s="9"/>
      <c r="W28" s="9"/>
    </row>
    <row r="29" spans="2:23" x14ac:dyDescent="0.3">
      <c r="B29" s="9"/>
      <c r="C29" s="9"/>
      <c r="D29" s="9"/>
      <c r="E29" s="9"/>
      <c r="F29" s="9"/>
      <c r="G29" s="9"/>
      <c r="H29" s="9"/>
      <c r="I29" s="9"/>
      <c r="J29" s="9"/>
      <c r="K29" s="9"/>
      <c r="L29" s="9"/>
      <c r="M29" s="9"/>
      <c r="N29" s="9"/>
      <c r="O29" s="9"/>
      <c r="P29" s="9"/>
      <c r="Q29" s="9"/>
      <c r="R29" s="9"/>
      <c r="S29" s="9"/>
      <c r="T29" s="9"/>
      <c r="U29" s="9"/>
      <c r="V29" s="9"/>
      <c r="W29" s="9"/>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BE3E770-2DEE-4B0F-872E-97DD84983920}">
          <x14:formula1>
            <xm:f>'Alankrit Sales Data'!$W$3:$W$13</xm:f>
          </x14:formula1>
          <xm:sqref>H19</xm:sqref>
        </x14:dataValidation>
      </x14:dataValidation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3BC17B-E5FB-4385-B9D6-483344F7F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Alankrit Sales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Deepak Kumar Dubey</dc:creator>
  <cp:lastModifiedBy>Deepak Kumar Dubey</cp:lastModifiedBy>
  <dcterms:created xsi:type="dcterms:W3CDTF">2024-11-26T06:26:05Z</dcterms:created>
  <dcterms:modified xsi:type="dcterms:W3CDTF">2024-11-26T13:18:23Z</dcterms:modified>
</cp:coreProperties>
</file>